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tions" sheetId="1" state="visible" r:id="rId3"/>
    <sheet name="1_Release Register" sheetId="2" state="visible" r:id="rId4"/>
    <sheet name="2_eBCI Requests" sheetId="3" state="visible" r:id="rId5"/>
    <sheet name="3_Env Deployment Schedule" sheetId="4" state="visible" r:id="rId6"/>
    <sheet name="4_MF Access Requests" sheetId="5" state="visible" r:id="rId7"/>
    <sheet name="5_Sigon Assignments" sheetId="6" state="visible" r:id="rId8"/>
    <sheet name="6_Sigon Execution Log" sheetId="7" state="visible" r:id="rId9"/>
    <sheet name="8_Leave Calendar" sheetId="8" state="visible" r:id="rId10"/>
    <sheet name="9_Dashboard" sheetId="9" state="visible" r:id="rId11"/>
    <sheet name="7_Staff Directo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<sst xmlns="http://schemas.openxmlformats.org/spreadsheetml/2006/main" count="395" uniqueCount="221">
  <si>
    <t xml:space="preserve">Department Release &amp; Sigon Management System</t>
  </si>
  <si>
    <t xml:space="preserve">Workbook Overview</t>
  </si>
  <si>
    <t xml:space="preserve">Sheet Name</t>
  </si>
  <si>
    <t xml:space="preserve">Purpose</t>
  </si>
  <si>
    <t xml:space="preserve">0_Instructions</t>
  </si>
  <si>
    <t xml:space="preserve">This page — describes each sheet and how to use the workbook</t>
  </si>
  <si>
    <t xml:space="preserve">1_Release Register</t>
  </si>
  <si>
    <t xml:space="preserve">Master list of all Releases (type, year, status, cross-year flag). This is the key reference for all other sheets.</t>
  </si>
  <si>
    <t xml:space="preserve">2_eBCI Requests</t>
  </si>
  <si>
    <t xml:space="preserve">Tracks eBCI approval form status for every Java Release (Java Releases only)</t>
  </si>
  <si>
    <t xml:space="preserve">3_Env Deployment Schedule</t>
  </si>
  <si>
    <t xml:space="preserve">Records the organisation-mandated UT/UA/OT/PR deployment &amp; Sigon dates for each Release</t>
  </si>
  <si>
    <t xml:space="preserve">4_MF Access Requests</t>
  </si>
  <si>
    <t xml:space="preserve">Tracks Mainframe access-permission requests for UA/OT/PR deployments (≥15-day advance submission; ≥3 business-day advance verification)</t>
  </si>
  <si>
    <t xml:space="preserve">5_Sigon Assignments</t>
  </si>
  <si>
    <t xml:space="preserve">Personnel assignments for each Sigon (Mainframe + Java TDAP/TDWS)</t>
  </si>
  <si>
    <t xml:space="preserve">6_Sigon Execution Log</t>
  </si>
  <si>
    <t xml:space="preserve">Actual Sigon execution results, issues found, and follow-up actions</t>
  </si>
  <si>
    <t xml:space="preserve">7_Staff Directory</t>
  </si>
  <si>
    <t xml:space="preserve">Department roster (Mainframe team + Java team) — used as dropdown source in other sheets</t>
  </si>
  <si>
    <t xml:space="preserve">8_Leave Calendar</t>
  </si>
  <si>
    <t xml:space="preserve">Staff leave records — reference when arranging Sigon assignments</t>
  </si>
  <si>
    <t xml:space="preserve">9_Dashboard</t>
  </si>
  <si>
    <t xml:space="preserve">Summary view: Release progress, pending items, and risk alerts</t>
  </si>
  <si>
    <t xml:space="preserve">Status Colour Legend</t>
  </si>
  <si>
    <t xml:space="preserve">✅  Completed / Approved</t>
  </si>
  <si>
    <t xml:space="preserve">⏳  In Progress / Pending / To-Do</t>
  </si>
  <si>
    <t xml:space="preserve">❌  Incomplete / Rejected / Overdue</t>
  </si>
  <si>
    <t xml:space="preserve">—   Not Applicable / N/A</t>
  </si>
  <si>
    <t xml:space="preserve">💡 How to Use</t>
  </si>
  <si>
    <t xml:space="preserve">1. Start in [1_Release Register] — enter each Release. The Release ID is the linking key used by all other sheets.</t>
  </si>
  <si>
    <t xml:space="preserve">2. If the Release includes Java changes, go to [2_eBCI Requests] and log the approval form submission.</t>
  </si>
  <si>
    <t xml:space="preserve">3. Go to [3_Env Deployment Schedule] and enter the organisation-confirmed UT/UA/OT/PR deployment dates.</t>
  </si>
  <si>
    <t xml:space="preserve">4. If the Release includes Mainframe changes, track permission requests in [4_MF Access Requests].</t>
  </si>
  <si>
    <t xml:space="preserve">5. Arrange Sigon personnel in [5_Sigon Assignments], cross-referencing [8_Leave Calendar] for conflicts.</t>
  </si>
  <si>
    <t xml:space="preserve">6. On or after each Sigon, record the outcome in [6_Sigon Execution Log].</t>
  </si>
  <si>
    <t xml:space="preserve">7. Use [9_Dashboard] for an at-a-glance progress and risk summary.</t>
  </si>
  <si>
    <t xml:space="preserve">Release Register — Master Record for All Releases</t>
  </si>
  <si>
    <t xml:space="preserve">Note: Suggested Release ID format: [Year]-[Type], e.g. 2026-Spring. The Mainframe/Java flags drive the downstream workflow.</t>
  </si>
  <si>
    <t xml:space="preserve">Release ID</t>
  </si>
  <si>
    <t xml:space="preserve">Release Name</t>
  </si>
  <si>
    <t xml:space="preserve">Year</t>
  </si>
  <si>
    <t xml:space="preserve">Release Type</t>
  </si>
  <si>
    <t xml:space="preserve">Mainframe Changes?</t>
  </si>
  <si>
    <t xml:space="preserve">Java Changes?</t>
  </si>
  <si>
    <t xml:space="preserve">Java Product(s)</t>
  </si>
  <si>
    <t xml:space="preserve">Dev Start Date</t>
  </si>
  <si>
    <t xml:space="preserve">Planned PR Go-Live</t>
  </si>
  <si>
    <t xml:space="preserve">Cross-Year?</t>
  </si>
  <si>
    <t xml:space="preserve">Overall Status</t>
  </si>
  <si>
    <t xml:space="preserve">2026-January</t>
  </si>
  <si>
    <t xml:space="preserve">2026 January Release</t>
  </si>
  <si>
    <t xml:space="preserve">January</t>
  </si>
  <si>
    <t xml:space="preserve">Yes</t>
  </si>
  <si>
    <t xml:space="preserve">TDAP</t>
  </si>
  <si>
    <t xml:space="preserve">2025-10-01</t>
  </si>
  <si>
    <t xml:space="preserve">2026-01-15</t>
  </si>
  <si>
    <t xml:space="preserve">In Progress</t>
  </si>
  <si>
    <t xml:space="preserve">2026-February</t>
  </si>
  <si>
    <t xml:space="preserve">2026 February Release</t>
  </si>
  <si>
    <t xml:space="preserve">February</t>
  </si>
  <si>
    <t xml:space="preserve">No</t>
  </si>
  <si>
    <t xml:space="preserve">TDWS</t>
  </si>
  <si>
    <t xml:space="preserve">2025-11-01</t>
  </si>
  <si>
    <t xml:space="preserve">2026-02-20</t>
  </si>
  <si>
    <t xml:space="preserve">2026-Spring</t>
  </si>
  <si>
    <t xml:space="preserve">2026 Spring Release</t>
  </si>
  <si>
    <t xml:space="preserve">Spring</t>
  </si>
  <si>
    <t xml:space="preserve">TDAP, TDWS</t>
  </si>
  <si>
    <t xml:space="preserve">2026-05-30</t>
  </si>
  <si>
    <t xml:space="preserve">Not Started</t>
  </si>
  <si>
    <t xml:space="preserve">2026-Fall</t>
  </si>
  <si>
    <t xml:space="preserve">2026 Fall Release</t>
  </si>
  <si>
    <t xml:space="preserve">Fall</t>
  </si>
  <si>
    <t xml:space="preserve">—</t>
  </si>
  <si>
    <t xml:space="preserve">2026-06-01</t>
  </si>
  <si>
    <t xml:space="preserve">2026-10-15</t>
  </si>
  <si>
    <t xml:space="preserve">eBCI Approval Request Log — Java Releases Only</t>
  </si>
  <si>
    <t xml:space="preserve">Note: Every Java Release requires an approved eBCI form before the development cycle begins. Track submission and approval status here.</t>
  </si>
  <si>
    <t xml:space="preserve">Java Product</t>
  </si>
  <si>
    <t xml:space="preserve">Submitted By</t>
  </si>
  <si>
    <t xml:space="preserve">Submission Date</t>
  </si>
  <si>
    <t xml:space="preserve">Request No.</t>
  </si>
  <si>
    <t xml:space="preserve">Status</t>
  </si>
  <si>
    <t xml:space="preserve">Approval / Rejection Date</t>
  </si>
  <si>
    <t xml:space="preserve">Approver</t>
  </si>
  <si>
    <t xml:space="preserve">Notes</t>
  </si>
  <si>
    <t xml:space="preserve">(Sample) David Chen</t>
  </si>
  <si>
    <t xml:space="preserve">2025-09-15</t>
  </si>
  <si>
    <t xml:space="preserve">EBCI-2025-1001</t>
  </si>
  <si>
    <t xml:space="preserve">Approved</t>
  </si>
  <si>
    <t xml:space="preserve">2025-09-25</t>
  </si>
  <si>
    <t xml:space="preserve">(Sample) Manager A</t>
  </si>
  <si>
    <t xml:space="preserve">(Sample) Alice Wong</t>
  </si>
  <si>
    <t xml:space="preserve">2025-10-10</t>
  </si>
  <si>
    <t xml:space="preserve">EBCI-2025-1015</t>
  </si>
  <si>
    <t xml:space="preserve">2025-10-20</t>
  </si>
  <si>
    <t xml:space="preserve">To Submit</t>
  </si>
  <si>
    <t xml:space="preserve">Waiting for dev plan confirmation</t>
  </si>
  <si>
    <t xml:space="preserve">Environment Deployment / Sigon Schedule</t>
  </si>
  <si>
    <t xml:space="preserve">Note: Dates are set by the organisation. The department must comply. Sigon = post-deployment verification. Update the status column after each Sigon.</t>
  </si>
  <si>
    <t xml:space="preserve">Change Scope</t>
  </si>
  <si>
    <t xml:space="preserve">UT Environment</t>
  </si>
  <si>
    <t xml:space="preserve">UA Environment</t>
  </si>
  <si>
    <t xml:space="preserve">OT Environment</t>
  </si>
  <si>
    <t xml:space="preserve">PR Environment (Go-Live)</t>
  </si>
  <si>
    <t xml:space="preserve">Sigon Date</t>
  </si>
  <si>
    <t xml:space="preserve">Sigon Status</t>
  </si>
  <si>
    <t xml:space="preserve">Java (TDAP)</t>
  </si>
  <si>
    <t xml:space="preserve">2025-10-15</t>
  </si>
  <si>
    <t xml:space="preserve">Completed</t>
  </si>
  <si>
    <t xml:space="preserve">2025-11-15</t>
  </si>
  <si>
    <t xml:space="preserve">2025-12-15</t>
  </si>
  <si>
    <t xml:space="preserve">Pending</t>
  </si>
  <si>
    <t xml:space="preserve">Java (TDWS)</t>
  </si>
  <si>
    <t xml:space="preserve">Mainframe + Java</t>
  </si>
  <si>
    <t xml:space="preserve">Mainframe</t>
  </si>
  <si>
    <t xml:space="preserve">Mainframe Access Permission Request Tracker</t>
  </si>
  <si>
    <t xml:space="preserve">Note: Mainframe access for UA/OT/PR must be requested ≥15 calendar days before Sigon. Approval must be verified ≥3 business days before Sigon. Overdue cells turn red automatically.</t>
  </si>
  <si>
    <t xml:space="preserve">Environment</t>
  </si>
  <si>
    <t xml:space="preserve">Requestor ID</t>
  </si>
  <si>
    <t xml:space="preserve">Requestor Name</t>
  </si>
  <si>
    <t xml:space="preserve">Request Submission Date</t>
  </si>
  <si>
    <t xml:space="preserve">Submission Deadline (Sigon−15 days)</t>
  </si>
  <si>
    <t xml:space="preserve">Request Status</t>
  </si>
  <si>
    <t xml:space="preserve">Verification Date</t>
  </si>
  <si>
    <t xml:space="preserve">Verification Deadline (Sigon−3 bus. days)</t>
  </si>
  <si>
    <t xml:space="preserve">Verification Result</t>
  </si>
  <si>
    <t xml:space="preserve">UA</t>
  </si>
  <si>
    <t xml:space="preserve">MF001</t>
  </si>
  <si>
    <t xml:space="preserve">(Sample) John Smith</t>
  </si>
  <si>
    <t xml:space="preserve">2025-10-25</t>
  </si>
  <si>
    <t xml:space="preserve">2025-11-12</t>
  </si>
  <si>
    <t xml:space="preserve">Confirmed</t>
  </si>
  <si>
    <t xml:space="preserve">OT</t>
  </si>
  <si>
    <t xml:space="preserve">2025-11-25</t>
  </si>
  <si>
    <t xml:space="preserve">2025-12-10</t>
  </si>
  <si>
    <t xml:space="preserve">PR</t>
  </si>
  <si>
    <t xml:space="preserve">MF002</t>
  </si>
  <si>
    <t xml:space="preserve">(Sample) Mary Lee</t>
  </si>
  <si>
    <t xml:space="preserve">2025-12-25</t>
  </si>
  <si>
    <t xml:space="preserve">Under Review</t>
  </si>
  <si>
    <t xml:space="preserve">Not Requested</t>
  </si>
  <si>
    <t xml:space="preserve">Sigon Execution Personnel Assignments</t>
  </si>
  <si>
    <t xml:space="preserve">Note: Assign personnel for each Sigon. Mainframe and Java (TDAP / TDWS) are assigned separately. If resource-constrained, one person may cover both Java products.</t>
  </si>
  <si>
    <t xml:space="preserve">Mainframe Assignee</t>
  </si>
  <si>
    <t xml:space="preserve">TDAP Assignee</t>
  </si>
  <si>
    <t xml:space="preserve">TDWS Assignee</t>
  </si>
  <si>
    <t xml:space="preserve">Resource Conflict?</t>
  </si>
  <si>
    <t xml:space="preserve">Confirmation Status</t>
  </si>
  <si>
    <t xml:space="preserve">UT</t>
  </si>
  <si>
    <t xml:space="preserve">TDAP only</t>
  </si>
  <si>
    <t xml:space="preserve">MF covered by Mary</t>
  </si>
  <si>
    <t xml:space="preserve">TDWS only</t>
  </si>
  <si>
    <t xml:space="preserve">Sigon Execution Results Log</t>
  </si>
  <si>
    <t xml:space="preserve">Note: Complete this sheet on or after each Sigon. Record the actual outcome, issues found, and any follow-up actions required.</t>
  </si>
  <si>
    <t xml:space="preserve">Actual Start</t>
  </si>
  <si>
    <t xml:space="preserve">Actual End</t>
  </si>
  <si>
    <t xml:space="preserve">Result</t>
  </si>
  <si>
    <t xml:space="preserve">Issues Found (#)</t>
  </si>
  <si>
    <t xml:space="preserve">Issue Description / JIRA Tickets</t>
  </si>
  <si>
    <t xml:space="preserve">Follow-up Actions</t>
  </si>
  <si>
    <t xml:space="preserve">Logged By</t>
  </si>
  <si>
    <t xml:space="preserve">09:00</t>
  </si>
  <si>
    <t xml:space="preserve">11:30</t>
  </si>
  <si>
    <t xml:space="preserve">Success</t>
  </si>
  <si>
    <t xml:space="preserve">None</t>
  </si>
  <si>
    <t xml:space="preserve">Proceed to UA prep</t>
  </si>
  <si>
    <t xml:space="preserve">10:00</t>
  </si>
  <si>
    <t xml:space="preserve">14:00</t>
  </si>
  <si>
    <t xml:space="preserve">JIRA-1234, JIRA-1235 (resolved)</t>
  </si>
  <si>
    <t xml:space="preserve">Proceed to OT</t>
  </si>
  <si>
    <t xml:space="preserve">15:00</t>
  </si>
  <si>
    <t xml:space="preserve">JIRA-1240 (resolved)</t>
  </si>
  <si>
    <t xml:space="preserve">Prepare for PR go-live</t>
  </si>
  <si>
    <t xml:space="preserve">Staff Leave Register</t>
  </si>
  <si>
    <t xml:space="preserve">Note: Log all planned leave here so that Sigon assignment conflicts can be identified early.</t>
  </si>
  <si>
    <t xml:space="preserve">Employee ID</t>
  </si>
  <si>
    <t xml:space="preserve">Full Name</t>
  </si>
  <si>
    <t xml:space="preserve">Leave Type</t>
  </si>
  <si>
    <t xml:space="preserve">Start Date</t>
  </si>
  <si>
    <t xml:space="preserve">End Date</t>
  </si>
  <si>
    <t xml:space="preserve">JV001</t>
  </si>
  <si>
    <t xml:space="preserve">Annual Leave</t>
  </si>
  <si>
    <t xml:space="preserve">2026-02-10</t>
  </si>
  <si>
    <t xml:space="preserve">2026-02-17</t>
  </si>
  <si>
    <t xml:space="preserve">Lunar New Year</t>
  </si>
  <si>
    <t xml:space="preserve">Sick Leave</t>
  </si>
  <si>
    <t xml:space="preserve">2026-03-05</t>
  </si>
  <si>
    <t xml:space="preserve">2026-03-07</t>
  </si>
  <si>
    <t xml:space="preserve">Release Management Dashboard</t>
  </si>
  <si>
    <t xml:space="preserve">Auto-summary — sources: 1_Release Register / 2_eBCI Requests / 4_MF Access Requests. Click through to each sheet for details.</t>
  </si>
  <si>
    <t xml:space="preserve">📊 Release Status Summary</t>
  </si>
  <si>
    <t xml:space="preserve">📝 eBCI Approval Status</t>
  </si>
  <si>
    <t xml:space="preserve">Count</t>
  </si>
  <si>
    <t xml:space="preserve">Submitted</t>
  </si>
  <si>
    <t xml:space="preserve">In Testing</t>
  </si>
  <si>
    <t xml:space="preserve">Live</t>
  </si>
  <si>
    <t xml:space="preserve">Cancelled</t>
  </si>
  <si>
    <t xml:space="preserve">Rejected</t>
  </si>
  <si>
    <t xml:space="preserve">Total</t>
  </si>
  <si>
    <t xml:space="preserve">🔐 MF Access Request Status</t>
  </si>
  <si>
    <t xml:space="preserve">⚠️ Risk Alerts</t>
  </si>
  <si>
    <t xml:space="preserve">Item</t>
  </si>
  <si>
    <t xml:space="preserve">MF requests overdue (not yet approved)</t>
  </si>
  <si>
    <t xml:space="preserve">MF verifications overdue (not confirmed)</t>
  </si>
  <si>
    <t xml:space="preserve">Sigon assignments pending confirmation</t>
  </si>
  <si>
    <t xml:space="preserve">Sigon resource conflicts detected</t>
  </si>
  <si>
    <t xml:space="preserve">📅 Upcoming Sigons (refer to 3_Env Deployment Schedule and 5_Sigon Assignments for details)</t>
  </si>
  <si>
    <t xml:space="preserve">Sigon count in the next 30 days (UT + UA + OT + PR combined)</t>
  </si>
  <si>
    <t xml:space="preserve">Department Staff Directory</t>
  </si>
  <si>
    <t xml:space="preserve">Team</t>
  </si>
  <si>
    <t xml:space="preserve">Product / Role</t>
  </si>
  <si>
    <t xml:space="preserve">Mainframe Dev</t>
  </si>
  <si>
    <t xml:space="preserve">Has permanent UT access</t>
  </si>
  <si>
    <t xml:space="preserve">Java</t>
  </si>
  <si>
    <t xml:space="preserve">JV002</t>
  </si>
  <si>
    <t xml:space="preserve">JV003</t>
  </si>
  <si>
    <t xml:space="preserve">(Sample) Bob Martin</t>
  </si>
  <si>
    <t xml:space="preserve">TDAP / TDWS</t>
  </si>
  <si>
    <t xml:space="preserve">Can cover both products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</si>
</sst>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</row>
    <row r="7" customFormat="false" ht="23.85" hidden="false" customHeight="false" outlineLevel="0" collapsed="false">
      <c r="A7" s="4" t="s">
        <v>6</v>
      </c>
      <c r="B7" s="4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</row>
    <row r="9" customFormat="false" ht="15" hidden="false" customHeight="false" outlineLevel="0" collapsed="false">
      <c r="A9" s="4" t="s">
        <v>10</v>
      </c>
      <c r="B9" s="4" t="s">
        <v>11</v>
      </c>
    </row>
    <row r="10" customFormat="false" ht="23.85" hidden="false" customHeight="false" outlineLevel="0" collapsed="false">
      <c r="A10" s="4" t="s">
        <v>12</v>
      </c>
      <c r="B10" s="4" t="s">
        <v>13</v>
      </c>
    </row>
    <row r="11" customFormat="false" ht="15" hidden="false" customHeight="false" outlineLevel="0" collapsed="false">
      <c r="A11" s="4" t="s">
        <v>14</v>
      </c>
      <c r="B11" s="4" t="s">
        <v>15</v>
      </c>
    </row>
    <row r="12" customFormat="false" ht="15" hidden="false" customHeight="false" outlineLevel="0" collapsed="false">
      <c r="A12" s="4" t="s">
        <v>16</v>
      </c>
      <c r="B12" s="4" t="s">
        <v>17</v>
      </c>
    </row>
    <row r="13" customFormat="false" ht="15" hidden="false" customHeight="false" outlineLevel="0" collapsed="false">
      <c r="A13" s="4" t="s">
        <v>18</v>
      </c>
      <c r="B13" s="4" t="s">
        <v>19</v>
      </c>
    </row>
    <row r="14" customFormat="false" ht="15" hidden="false" customHeight="false" outlineLevel="0" collapsed="false">
      <c r="A14" s="4" t="s">
        <v>20</v>
      </c>
      <c r="B14" s="4" t="s">
        <v>21</v>
      </c>
    </row>
    <row r="15" customFormat="false" ht="15" hidden="false" customHeight="false" outlineLevel="0" collapsed="false">
      <c r="A15" s="4" t="s">
        <v>22</v>
      </c>
      <c r="B15" s="4" t="s">
        <v>23</v>
      </c>
    </row>
    <row r="18" customFormat="false" ht="15" hidden="false" customHeight="false" outlineLevel="0" collapsed="false">
      <c r="A18" s="2" t="s">
        <v>24</v>
      </c>
      <c r="B18" s="2"/>
    </row>
    <row r="19" customFormat="false" ht="15" hidden="false" customHeight="false" outlineLevel="0" collapsed="false">
      <c r="A19" s="5" t="s">
        <v>25</v>
      </c>
      <c r="B19" s="6"/>
    </row>
    <row r="20" customFormat="false" ht="15" hidden="false" customHeight="false" outlineLevel="0" collapsed="false">
      <c r="A20" s="5" t="s">
        <v>26</v>
      </c>
      <c r="B20" s="7"/>
    </row>
    <row r="21" customFormat="false" ht="15" hidden="false" customHeight="false" outlineLevel="0" collapsed="false">
      <c r="A21" s="5" t="s">
        <v>27</v>
      </c>
      <c r="B21" s="8"/>
    </row>
    <row r="22" customFormat="false" ht="15" hidden="false" customHeight="false" outlineLevel="0" collapsed="false">
      <c r="A22" s="5" t="s">
        <v>28</v>
      </c>
      <c r="B22" s="9"/>
    </row>
    <row r="24" customFormat="false" ht="15" hidden="false" customHeight="false" outlineLevel="0" collapsed="false">
      <c r="A24" s="2" t="s">
        <v>29</v>
      </c>
      <c r="B24" s="2"/>
    </row>
    <row r="25" customFormat="false" ht="15" hidden="false" customHeight="true" outlineLevel="0" collapsed="false">
      <c r="A25" s="4" t="s">
        <v>30</v>
      </c>
      <c r="B25" s="4"/>
    </row>
    <row r="26" customFormat="false" ht="15" hidden="false" customHeight="true" outlineLevel="0" collapsed="false">
      <c r="A26" s="4" t="s">
        <v>31</v>
      </c>
      <c r="B26" s="4"/>
    </row>
    <row r="27" customFormat="false" ht="15" hidden="false" customHeight="true" outlineLevel="0" collapsed="false">
      <c r="A27" s="4" t="s">
        <v>32</v>
      </c>
      <c r="B27" s="4"/>
    </row>
    <row r="28" customFormat="false" ht="15" hidden="false" customHeight="true" outlineLevel="0" collapsed="false">
      <c r="A28" s="4" t="s">
        <v>33</v>
      </c>
      <c r="B28" s="4"/>
    </row>
    <row r="29" customFormat="false" ht="15" hidden="false" customHeight="true" outlineLevel="0" collapsed="false">
      <c r="A29" s="4" t="s">
        <v>34</v>
      </c>
      <c r="B29" s="4"/>
    </row>
    <row r="30" customFormat="false" ht="15" hidden="false" customHeight="true" outlineLevel="0" collapsed="false">
      <c r="A30" s="4" t="s">
        <v>35</v>
      </c>
      <c r="B30" s="4"/>
    </row>
    <row r="31" customFormat="false" ht="15" hidden="false" customHeight="true" outlineLevel="0" collapsed="false">
      <c r="A31" s="4" t="s">
        <v>36</v>
      </c>
      <c r="B31" s="4"/>
    </row>
  </sheetData>
  <mergeCells count="11">
    <mergeCell ref="A1:F1"/>
    <mergeCell ref="A3:F3"/>
    <mergeCell ref="A18:B18"/>
    <mergeCell ref="A24:B24"/>
    <mergeCell ref="A25:B25"/>
    <mergeCell ref="A26:B26"/>
    <mergeCell ref="A27:B27"/>
    <mergeCell ref="A28:B28"/>
    <mergeCell ref="A29:B29"/>
    <mergeCell ref="A30:B30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0" t="s">
        <v>38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31.5" hidden="false" customHeight="true" outlineLevel="0" collapsed="false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</row>
    <row r="5" customFormat="false" ht="15" hidden="false" customHeight="false" outlineLevel="0" collapsed="false">
      <c r="A5" s="12" t="s">
        <v>50</v>
      </c>
      <c r="B5" s="4" t="s">
        <v>51</v>
      </c>
      <c r="C5" s="12" t="n">
        <v>2026</v>
      </c>
      <c r="D5" s="12" t="s">
        <v>52</v>
      </c>
      <c r="E5" s="12" t="s">
        <v>53</v>
      </c>
      <c r="F5" s="12" t="s">
        <v>53</v>
      </c>
      <c r="G5" s="4" t="s">
        <v>54</v>
      </c>
      <c r="H5" s="12" t="s">
        <v>55</v>
      </c>
      <c r="I5" s="12" t="s">
        <v>56</v>
      </c>
      <c r="J5" s="12" t="s">
        <v>53</v>
      </c>
      <c r="K5" s="12" t="s">
        <v>57</v>
      </c>
    </row>
    <row r="6" customFormat="false" ht="15" hidden="false" customHeight="false" outlineLevel="0" collapsed="false">
      <c r="A6" s="12" t="s">
        <v>58</v>
      </c>
      <c r="B6" s="4" t="s">
        <v>59</v>
      </c>
      <c r="C6" s="12" t="n">
        <v>2026</v>
      </c>
      <c r="D6" s="12" t="s">
        <v>60</v>
      </c>
      <c r="E6" s="12" t="s">
        <v>61</v>
      </c>
      <c r="F6" s="12" t="s">
        <v>53</v>
      </c>
      <c r="G6" s="4" t="s">
        <v>62</v>
      </c>
      <c r="H6" s="12" t="s">
        <v>63</v>
      </c>
      <c r="I6" s="12" t="s">
        <v>64</v>
      </c>
      <c r="J6" s="12" t="s">
        <v>53</v>
      </c>
      <c r="K6" s="12" t="s">
        <v>57</v>
      </c>
    </row>
    <row r="7" customFormat="false" ht="15" hidden="false" customHeight="false" outlineLevel="0" collapsed="false">
      <c r="A7" s="12" t="s">
        <v>65</v>
      </c>
      <c r="B7" s="4" t="s">
        <v>66</v>
      </c>
      <c r="C7" s="12" t="n">
        <v>2026</v>
      </c>
      <c r="D7" s="12" t="s">
        <v>67</v>
      </c>
      <c r="E7" s="12" t="s">
        <v>53</v>
      </c>
      <c r="F7" s="12" t="s">
        <v>53</v>
      </c>
      <c r="G7" s="4" t="s">
        <v>68</v>
      </c>
      <c r="H7" s="12" t="s">
        <v>56</v>
      </c>
      <c r="I7" s="12" t="s">
        <v>69</v>
      </c>
      <c r="J7" s="12" t="s">
        <v>61</v>
      </c>
      <c r="K7" s="12" t="s">
        <v>70</v>
      </c>
    </row>
    <row r="8" customFormat="false" ht="15" hidden="false" customHeight="false" outlineLevel="0" collapsed="false">
      <c r="A8" s="12" t="s">
        <v>71</v>
      </c>
      <c r="B8" s="4" t="s">
        <v>72</v>
      </c>
      <c r="C8" s="12" t="n">
        <v>2026</v>
      </c>
      <c r="D8" s="12" t="s">
        <v>73</v>
      </c>
      <c r="E8" s="12" t="s">
        <v>53</v>
      </c>
      <c r="F8" s="12" t="s">
        <v>61</v>
      </c>
      <c r="G8" s="4" t="s">
        <v>74</v>
      </c>
      <c r="H8" s="12" t="s">
        <v>75</v>
      </c>
      <c r="I8" s="12" t="s">
        <v>76</v>
      </c>
      <c r="J8" s="12" t="s">
        <v>61</v>
      </c>
      <c r="K8" s="12" t="s">
        <v>70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 t="str">
        <f aca="false">IF(AND(H9&lt;&gt;"",I9&lt;&gt;""),IF(YEAR(H9)&lt;&gt;YEAR(I9),"Yes","No"),"")</f>
        <v/>
      </c>
      <c r="K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 t="str">
        <f aca="false">IF(AND(H10&lt;&gt;"",I10&lt;&gt;""),IF(YEAR(H10)&lt;&gt;YEAR(I10),"Yes","No"),"")</f>
        <v/>
      </c>
      <c r="K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 t="str">
        <f aca="false">IF(AND(H11&lt;&gt;"",I11&lt;&gt;""),IF(YEAR(H11)&lt;&gt;YEAR(I11),"Yes","No"),"")</f>
        <v/>
      </c>
      <c r="K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 t="str">
        <f aca="false">IF(AND(H12&lt;&gt;"",I12&lt;&gt;""),IF(YEAR(H12)&lt;&gt;YEAR(I12),"Yes","No"),"")</f>
        <v/>
      </c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 t="str">
        <f aca="false">IF(AND(H13&lt;&gt;"",I13&lt;&gt;""),IF(YEAR(H13)&lt;&gt;YEAR(I13),"Yes","No"),"")</f>
        <v/>
      </c>
      <c r="K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 t="str">
        <f aca="false">IF(AND(H14&lt;&gt;"",I14&lt;&gt;""),IF(YEAR(H14)&lt;&gt;YEAR(I14),"Yes","No"),"")</f>
        <v/>
      </c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 t="str">
        <f aca="false">IF(AND(H15&lt;&gt;"",I15&lt;&gt;""),IF(YEAR(H15)&lt;&gt;YEAR(I15),"Yes","No"),"")</f>
        <v/>
      </c>
      <c r="K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 t="str">
        <f aca="false">IF(AND(H16&lt;&gt;"",I16&lt;&gt;""),IF(YEAR(H16)&lt;&gt;YEAR(I16),"Yes","No"),"")</f>
        <v/>
      </c>
      <c r="K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 t="str">
        <f aca="false">IF(AND(H17&lt;&gt;"",I17&lt;&gt;""),IF(YEAR(H17)&lt;&gt;YEAR(I17),"Yes","No"),"")</f>
        <v/>
      </c>
      <c r="K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 t="str">
        <f aca="false">IF(AND(H18&lt;&gt;"",I18&lt;&gt;""),IF(YEAR(H18)&lt;&gt;YEAR(I18),"Yes","No"),"")</f>
        <v/>
      </c>
      <c r="K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 t="str">
        <f aca="false">IF(AND(H19&lt;&gt;"",I19&lt;&gt;""),IF(YEAR(H19)&lt;&gt;YEAR(I19),"Yes","No"),"")</f>
        <v/>
      </c>
      <c r="K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 t="str">
        <f aca="false">IF(AND(H20&lt;&gt;"",I20&lt;&gt;""),IF(YEAR(H20)&lt;&gt;YEAR(I20),"Yes","No"),"")</f>
        <v/>
      </c>
      <c r="K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 t="str">
        <f aca="false">IF(AND(H21&lt;&gt;"",I21&lt;&gt;""),IF(YEAR(H21)&lt;&gt;YEAR(I21),"Yes","No"),"")</f>
        <v/>
      </c>
      <c r="K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 t="str">
        <f aca="false">IF(AND(H22&lt;&gt;"",I22&lt;&gt;""),IF(YEAR(H22)&lt;&gt;YEAR(I22),"Yes","No"),"")</f>
        <v/>
      </c>
      <c r="K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 t="str">
        <f aca="false">IF(AND(H23&lt;&gt;"",I23&lt;&gt;""),IF(YEAR(H23)&lt;&gt;YEAR(I23),"Yes","No"),"")</f>
        <v/>
      </c>
      <c r="K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 t="str">
        <f aca="false">IF(AND(H24&lt;&gt;"",I24&lt;&gt;""),IF(YEAR(H24)&lt;&gt;YEAR(I24),"Yes","No"),"")</f>
        <v/>
      </c>
      <c r="K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 t="str">
        <f aca="false">IF(AND(H25&lt;&gt;"",I25&lt;&gt;""),IF(YEAR(H25)&lt;&gt;YEAR(I25),"Yes","No"),"")</f>
        <v/>
      </c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 t="str">
        <f aca="false">IF(AND(H26&lt;&gt;"",I26&lt;&gt;""),IF(YEAR(H26)&lt;&gt;YEAR(I26),"Yes","No"),"")</f>
        <v/>
      </c>
      <c r="K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 t="str">
        <f aca="false">IF(AND(H27&lt;&gt;"",I27&lt;&gt;""),IF(YEAR(H27)&lt;&gt;YEAR(I27),"Yes","No"),"")</f>
        <v/>
      </c>
      <c r="K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 t="str">
        <f aca="false">IF(AND(H28&lt;&gt;"",I28&lt;&gt;""),IF(YEAR(H28)&lt;&gt;YEAR(I28),"Yes","No"),"")</f>
        <v/>
      </c>
      <c r="K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 t="str">
        <f aca="false">IF(AND(H29&lt;&gt;"",I29&lt;&gt;""),IF(YEAR(H29)&lt;&gt;YEAR(I29),"Yes","No"),"")</f>
        <v/>
      </c>
      <c r="K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 t="str">
        <f aca="false">IF(AND(H30&lt;&gt;"",I30&lt;&gt;""),IF(YEAR(H30)&lt;&gt;YEAR(I30),"Yes","No"),"")</f>
        <v/>
      </c>
      <c r="K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 t="str">
        <f aca="false">IF(AND(H31&lt;&gt;"",I31&lt;&gt;""),IF(YEAR(H31)&lt;&gt;YEAR(I31),"Yes","No"),"")</f>
        <v/>
      </c>
      <c r="K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 t="str">
        <f aca="false">IF(AND(H32&lt;&gt;"",I32&lt;&gt;""),IF(YEAR(H32)&lt;&gt;YEAR(I32),"Yes","No"),"")</f>
        <v/>
      </c>
      <c r="K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 t="str">
        <f aca="false">IF(AND(H33&lt;&gt;"",I33&lt;&gt;""),IF(YEAR(H33)&lt;&gt;YEAR(I33),"Yes","No"),"")</f>
        <v/>
      </c>
      <c r="K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 t="str">
        <f aca="false">IF(AND(H34&lt;&gt;"",I34&lt;&gt;""),IF(YEAR(H34)&lt;&gt;YEAR(I34),"Yes","No"),"")</f>
        <v/>
      </c>
      <c r="K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 t="str">
        <f aca="false">IF(AND(H35&lt;&gt;"",I35&lt;&gt;""),IF(YEAR(H35)&lt;&gt;YEAR(I35),"Yes","No"),"")</f>
        <v/>
      </c>
      <c r="K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 t="str">
        <f aca="false">IF(AND(H36&lt;&gt;"",I36&lt;&gt;""),IF(YEAR(H36)&lt;&gt;YEAR(I36),"Yes","No"),"")</f>
        <v/>
      </c>
      <c r="K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 t="str">
        <f aca="false">IF(AND(H37&lt;&gt;"",I37&lt;&gt;""),IF(YEAR(H37)&lt;&gt;YEAR(I37),"Yes","No"),"")</f>
        <v/>
      </c>
      <c r="K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 t="str">
        <f aca="false">IF(AND(H38&lt;&gt;"",I38&lt;&gt;""),IF(YEAR(H38)&lt;&gt;YEAR(I38),"Yes","No"),"")</f>
        <v/>
      </c>
      <c r="K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 t="str">
        <f aca="false">IF(AND(H39&lt;&gt;"",I39&lt;&gt;""),IF(YEAR(H39)&lt;&gt;YEAR(I39),"Yes","No"),"")</f>
        <v/>
      </c>
      <c r="K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 t="str">
        <f aca="false">IF(AND(H40&lt;&gt;"",I40&lt;&gt;""),IF(YEAR(H40)&lt;&gt;YEAR(I40),"Yes","No"),"")</f>
        <v/>
      </c>
      <c r="K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 t="str">
        <f aca="false">IF(AND(H41&lt;&gt;"",I41&lt;&gt;""),IF(YEAR(H41)&lt;&gt;YEAR(I41),"Yes","No"),"")</f>
        <v/>
      </c>
      <c r="K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 t="str">
        <f aca="false">IF(AND(H42&lt;&gt;"",I42&lt;&gt;""),IF(YEAR(H42)&lt;&gt;YEAR(I42),"Yes","No"),"")</f>
        <v/>
      </c>
      <c r="K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 t="str">
        <f aca="false">IF(AND(H43&lt;&gt;"",I43&lt;&gt;""),IF(YEAR(H43)&lt;&gt;YEAR(I43),"Yes","No"),"")</f>
        <v/>
      </c>
      <c r="K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 t="str">
        <f aca="false">IF(AND(H44&lt;&gt;"",I44&lt;&gt;""),IF(YEAR(H44)&lt;&gt;YEAR(I44),"Yes","No"),"")</f>
        <v/>
      </c>
      <c r="K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 t="str">
        <f aca="false">IF(AND(H45&lt;&gt;"",I45&lt;&gt;""),IF(YEAR(H45)&lt;&gt;YEAR(I45),"Yes","No"),"")</f>
        <v/>
      </c>
      <c r="K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 t="str">
        <f aca="false">IF(AND(H46&lt;&gt;"",I46&lt;&gt;""),IF(YEAR(H46)&lt;&gt;YEAR(I46),"Yes","No"),"")</f>
        <v/>
      </c>
      <c r="K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 t="str">
        <f aca="false">IF(AND(H47&lt;&gt;"",I47&lt;&gt;""),IF(YEAR(H47)&lt;&gt;YEAR(I47),"Yes","No"),"")</f>
        <v/>
      </c>
      <c r="K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 t="str">
        <f aca="false">IF(AND(H48&lt;&gt;"",I48&lt;&gt;""),IF(YEAR(H48)&lt;&gt;YEAR(I48),"Yes","No"),"")</f>
        <v/>
      </c>
      <c r="K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 t="str">
        <f aca="false">IF(AND(H49&lt;&gt;"",I49&lt;&gt;""),IF(YEAR(H49)&lt;&gt;YEAR(I49),"Yes","No"),"")</f>
        <v/>
      </c>
      <c r="K49" s="4"/>
    </row>
  </sheetData>
  <mergeCells count="2">
    <mergeCell ref="A1:K1"/>
    <mergeCell ref="A2:K2"/>
  </mergeCells>
  <conditionalFormatting sqref="K5:K100">
    <cfRule type="cellIs" priority="2" operator="equal" aboveAverage="0" equalAverage="0" bottom="0" percent="0" rank="0" text="" dxfId="0">
      <formula>"Live"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1">
      <formula>"In Testing"</formula>
    </cfRule>
    <cfRule type="cellIs" priority="5" operator="equal" aboveAverage="0" equalAverage="0" bottom="0" percent="0" rank="0" text="" dxfId="2">
      <formula>"Cancelled"</formula>
    </cfRule>
  </conditionalFormatting>
  <conditionalFormatting sqref="J5:J100">
    <cfRule type="cellIs" priority="6" operator="equal" aboveAverage="0" equalAverage="0" bottom="0" percent="0" rank="0" text="" dxfId="1">
      <formula>"Yes"</formula>
    </cfRule>
  </conditionalFormatting>
  <dataValidations count="4">
    <dataValidation allowBlank="true" errorStyle="stop" operator="between" showDropDown="false" showErrorMessage="false" showInputMessage="false" sqref="D5:D100" type="list">
      <formula1>"January,February,Spring,Fall"</formula1>
      <formula2>0</formula2>
    </dataValidation>
    <dataValidation allowBlank="true" errorStyle="stop" operator="between" showDropDown="false" showErrorMessage="false" showInputMessage="false" sqref="E5:F100" type="list">
      <formula1>"Yes,No"</formula1>
      <formula2>0</formula2>
    </dataValidation>
    <dataValidation allowBlank="true" errorStyle="stop" operator="between" showDropDown="false" showErrorMessage="false" showInputMessage="false" sqref="G5:G100" type="list">
      <formula1>"TDAP,TDWS,TDAP,TDWS,—"</formula1>
      <formula2>0</formula2>
    </dataValidation>
    <dataValidation allowBlank="true" errorStyle="stop" operator="between" showDropDown="false" showErrorMessage="false" showInputMessage="false" sqref="K5:K100" type="list">
      <formula1>"Not Started,In Progress,In Testing,Live,Cancelled"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0" t="s">
        <v>78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11" t="s">
        <v>39</v>
      </c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84</v>
      </c>
      <c r="H4" s="11" t="s">
        <v>85</v>
      </c>
      <c r="I4" s="11" t="s">
        <v>86</v>
      </c>
    </row>
    <row r="5" customFormat="false" ht="23.85" hidden="false" customHeight="false" outlineLevel="0" collapsed="false">
      <c r="A5" s="4" t="s">
        <v>50</v>
      </c>
      <c r="B5" s="4" t="s">
        <v>54</v>
      </c>
      <c r="C5" s="4" t="s">
        <v>87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  <c r="I5" s="4"/>
    </row>
    <row r="6" customFormat="false" ht="23.85" hidden="false" customHeight="false" outlineLevel="0" collapsed="false">
      <c r="A6" s="4" t="s">
        <v>58</v>
      </c>
      <c r="B6" s="4" t="s">
        <v>62</v>
      </c>
      <c r="C6" s="4" t="s">
        <v>93</v>
      </c>
      <c r="D6" s="4" t="s">
        <v>94</v>
      </c>
      <c r="E6" s="4" t="s">
        <v>95</v>
      </c>
      <c r="F6" s="4" t="s">
        <v>90</v>
      </c>
      <c r="G6" s="4" t="s">
        <v>96</v>
      </c>
      <c r="H6" s="4" t="s">
        <v>92</v>
      </c>
      <c r="I6" s="4"/>
    </row>
    <row r="7" customFormat="false" ht="23.85" hidden="false" customHeight="false" outlineLevel="0" collapsed="false">
      <c r="A7" s="4" t="s">
        <v>65</v>
      </c>
      <c r="B7" s="4" t="s">
        <v>54</v>
      </c>
      <c r="C7" s="4" t="s">
        <v>87</v>
      </c>
      <c r="D7" s="4"/>
      <c r="E7" s="4"/>
      <c r="F7" s="4" t="s">
        <v>97</v>
      </c>
      <c r="G7" s="4"/>
      <c r="H7" s="4"/>
      <c r="I7" s="4" t="s">
        <v>98</v>
      </c>
    </row>
    <row r="8" customFormat="false" ht="23.85" hidden="false" customHeight="false" outlineLevel="0" collapsed="false">
      <c r="A8" s="4" t="s">
        <v>65</v>
      </c>
      <c r="B8" s="4" t="s">
        <v>62</v>
      </c>
      <c r="C8" s="4" t="s">
        <v>93</v>
      </c>
      <c r="D8" s="4"/>
      <c r="E8" s="4"/>
      <c r="F8" s="4" t="s">
        <v>97</v>
      </c>
      <c r="G8" s="4"/>
      <c r="H8" s="4"/>
      <c r="I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</sheetData>
  <mergeCells count="2">
    <mergeCell ref="A1:I1"/>
    <mergeCell ref="A2:I2"/>
  </mergeCells>
  <conditionalFormatting sqref="F5:F1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2">
      <formula>"Rejected"</formula>
    </cfRule>
    <cfRule type="cellIs" priority="4" operator="equal" aboveAverage="0" equalAverage="0" bottom="0" percent="0" rank="0" text="" dxfId="1">
      <formula>"To Submit"</formula>
    </cfRule>
    <cfRule type="cellIs" priority="5" operator="equal" aboveAverage="0" equalAverage="0" bottom="0" percent="0" rank="0" text="" dxfId="1">
      <formula>"Submitted"</formula>
    </cfRule>
    <cfRule type="cellIs" priority="6" operator="equal" aboveAverage="0" equalAverage="0" bottom="0" percent="0" rank="0" text="" dxfId="1">
      <formula>"Under Review"</formula>
    </cfRule>
  </conditionalFormatting>
  <dataValidations count="2">
    <dataValidation allowBlank="true" errorStyle="stop" operator="between" showDropDown="false" showErrorMessage="false" showInputMessage="false" sqref="B5:B100" type="list">
      <formula1>"TDAP,TDWS"</formula1>
      <formula2>0</formula2>
    </dataValidation>
    <dataValidation allowBlank="true" errorStyle="stop" operator="between" showDropDown="false" showErrorMessage="false" showInputMessage="false" sqref="F5:F100" type="list">
      <formula1>"To Submit,Submitted,Under Review,Approved,Rejected"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17.35" hidden="false" customHeight="fals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21.75" hidden="false" customHeight="true" outlineLevel="0" collapsed="false">
      <c r="A3" s="13" t="s">
        <v>39</v>
      </c>
      <c r="B3" s="13" t="s">
        <v>101</v>
      </c>
      <c r="C3" s="14" t="s">
        <v>102</v>
      </c>
      <c r="D3" s="14"/>
      <c r="E3" s="14"/>
      <c r="F3" s="14" t="s">
        <v>103</v>
      </c>
      <c r="G3" s="14"/>
      <c r="H3" s="14"/>
      <c r="I3" s="14" t="s">
        <v>104</v>
      </c>
      <c r="J3" s="14"/>
      <c r="K3" s="14"/>
      <c r="L3" s="14" t="s">
        <v>105</v>
      </c>
      <c r="M3" s="14"/>
      <c r="N3" s="14"/>
    </row>
    <row r="4" customFormat="false" ht="30" hidden="false" customHeight="true" outlineLevel="0" collapsed="false">
      <c r="A4" s="13"/>
      <c r="B4" s="13"/>
      <c r="C4" s="11" t="s">
        <v>106</v>
      </c>
      <c r="D4" s="11" t="s">
        <v>107</v>
      </c>
      <c r="E4" s="11" t="s">
        <v>86</v>
      </c>
      <c r="F4" s="11" t="s">
        <v>106</v>
      </c>
      <c r="G4" s="11" t="s">
        <v>107</v>
      </c>
      <c r="H4" s="11" t="s">
        <v>86</v>
      </c>
      <c r="I4" s="11" t="s">
        <v>106</v>
      </c>
      <c r="J4" s="11" t="s">
        <v>107</v>
      </c>
      <c r="K4" s="11" t="s">
        <v>86</v>
      </c>
      <c r="L4" s="11" t="s">
        <v>106</v>
      </c>
      <c r="M4" s="11" t="s">
        <v>107</v>
      </c>
      <c r="N4" s="11" t="s">
        <v>86</v>
      </c>
    </row>
    <row r="5" customFormat="false" ht="15" hidden="false" customHeight="false" outlineLevel="0" collapsed="false">
      <c r="A5" s="12" t="s">
        <v>50</v>
      </c>
      <c r="B5" s="4" t="s">
        <v>108</v>
      </c>
      <c r="C5" s="12" t="s">
        <v>109</v>
      </c>
      <c r="D5" s="12" t="s">
        <v>110</v>
      </c>
      <c r="E5" s="4"/>
      <c r="F5" s="12" t="s">
        <v>111</v>
      </c>
      <c r="G5" s="12" t="s">
        <v>110</v>
      </c>
      <c r="H5" s="4"/>
      <c r="I5" s="12" t="s">
        <v>112</v>
      </c>
      <c r="J5" s="12" t="s">
        <v>110</v>
      </c>
      <c r="K5" s="4"/>
      <c r="L5" s="12" t="s">
        <v>56</v>
      </c>
      <c r="M5" s="12" t="s">
        <v>113</v>
      </c>
      <c r="N5" s="4"/>
    </row>
    <row r="6" customFormat="false" ht="15" hidden="false" customHeight="false" outlineLevel="0" collapsed="false">
      <c r="A6" s="12" t="s">
        <v>58</v>
      </c>
      <c r="B6" s="4" t="s">
        <v>114</v>
      </c>
      <c r="C6" s="12" t="s">
        <v>111</v>
      </c>
      <c r="D6" s="12" t="s">
        <v>110</v>
      </c>
      <c r="E6" s="4"/>
      <c r="F6" s="12" t="s">
        <v>112</v>
      </c>
      <c r="G6" s="12" t="s">
        <v>57</v>
      </c>
      <c r="H6" s="4"/>
      <c r="I6" s="12"/>
      <c r="J6" s="12" t="s">
        <v>70</v>
      </c>
      <c r="K6" s="4"/>
      <c r="L6" s="12" t="s">
        <v>64</v>
      </c>
      <c r="M6" s="12" t="s">
        <v>70</v>
      </c>
      <c r="N6" s="4"/>
    </row>
    <row r="7" customFormat="false" ht="15" hidden="false" customHeight="false" outlineLevel="0" collapsed="false">
      <c r="A7" s="12" t="s">
        <v>65</v>
      </c>
      <c r="B7" s="4" t="s">
        <v>115</v>
      </c>
      <c r="C7" s="12"/>
      <c r="D7" s="12" t="s">
        <v>70</v>
      </c>
      <c r="E7" s="4"/>
      <c r="F7" s="12"/>
      <c r="G7" s="12" t="s">
        <v>70</v>
      </c>
      <c r="H7" s="4"/>
      <c r="I7" s="12"/>
      <c r="J7" s="12" t="s">
        <v>70</v>
      </c>
      <c r="K7" s="4"/>
      <c r="L7" s="12" t="s">
        <v>69</v>
      </c>
      <c r="M7" s="12" t="s">
        <v>70</v>
      </c>
      <c r="N7" s="4"/>
    </row>
    <row r="8" customFormat="false" ht="15" hidden="false" customHeight="false" outlineLevel="0" collapsed="false">
      <c r="A8" s="12" t="s">
        <v>71</v>
      </c>
      <c r="B8" s="4" t="s">
        <v>116</v>
      </c>
      <c r="C8" s="12"/>
      <c r="D8" s="12" t="s">
        <v>70</v>
      </c>
      <c r="E8" s="4"/>
      <c r="F8" s="12"/>
      <c r="G8" s="12" t="s">
        <v>70</v>
      </c>
      <c r="H8" s="4"/>
      <c r="I8" s="12"/>
      <c r="J8" s="12" t="s">
        <v>70</v>
      </c>
      <c r="K8" s="4"/>
      <c r="L8" s="12" t="s">
        <v>76</v>
      </c>
      <c r="M8" s="12" t="s">
        <v>70</v>
      </c>
      <c r="N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conditionalFormatting sqref="D5:D100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2">
      <formula>"Failed"</formula>
    </cfRule>
    <cfRule type="cellIs" priority="4" operator="equal" aboveAverage="0" equalAverage="0" bottom="0" percent="0" rank="0" text="" dxfId="2">
      <formula>"Deferred"</formula>
    </cfRule>
    <cfRule type="cellIs" priority="5" operator="equal" aboveAverage="0" equalAverage="0" bottom="0" percent="0" rank="0" text="" dxfId="1">
      <formula>"Pending"</formula>
    </cfRule>
    <cfRule type="cellIs" priority="6" operator="equal" aboveAverage="0" equalAverage="0" bottom="0" percent="0" rank="0" text="" dxfId="1">
      <formula>"In Progress"</formula>
    </cfRule>
  </conditionalFormatting>
  <conditionalFormatting sqref="G5:G100">
    <cfRule type="cellIs" priority="7" operator="equal" aboveAverage="0" equalAverage="0" bottom="0" percent="0" rank="0" text="" dxfId="0">
      <formula>"Completed"</formula>
    </cfRule>
    <cfRule type="cellIs" priority="8" operator="equal" aboveAverage="0" equalAverage="0" bottom="0" percent="0" rank="0" text="" dxfId="2">
      <formula>"Failed"</formula>
    </cfRule>
    <cfRule type="cellIs" priority="9" operator="equal" aboveAverage="0" equalAverage="0" bottom="0" percent="0" rank="0" text="" dxfId="2">
      <formula>"Deferred"</formula>
    </cfRule>
    <cfRule type="cellIs" priority="10" operator="equal" aboveAverage="0" equalAverage="0" bottom="0" percent="0" rank="0" text="" dxfId="1">
      <formula>"Pending"</formula>
    </cfRule>
    <cfRule type="cellIs" priority="11" operator="equal" aboveAverage="0" equalAverage="0" bottom="0" percent="0" rank="0" text="" dxfId="1">
      <formula>"In Progress"</formula>
    </cfRule>
  </conditionalFormatting>
  <conditionalFormatting sqref="J5:J100">
    <cfRule type="cellIs" priority="12" operator="equal" aboveAverage="0" equalAverage="0" bottom="0" percent="0" rank="0" text="" dxfId="0">
      <formula>"Completed"</formula>
    </cfRule>
    <cfRule type="cellIs" priority="13" operator="equal" aboveAverage="0" equalAverage="0" bottom="0" percent="0" rank="0" text="" dxfId="2">
      <formula>"Failed"</formula>
    </cfRule>
    <cfRule type="cellIs" priority="14" operator="equal" aboveAverage="0" equalAverage="0" bottom="0" percent="0" rank="0" text="" dxfId="2">
      <formula>"Deferred"</formula>
    </cfRule>
    <cfRule type="cellIs" priority="15" operator="equal" aboveAverage="0" equalAverage="0" bottom="0" percent="0" rank="0" text="" dxfId="1">
      <formula>"Pending"</formula>
    </cfRule>
    <cfRule type="cellIs" priority="16" operator="equal" aboveAverage="0" equalAverage="0" bottom="0" percent="0" rank="0" text="" dxfId="1">
      <formula>"In Progress"</formula>
    </cfRule>
  </conditionalFormatting>
  <conditionalFormatting sqref="M5:M100">
    <cfRule type="cellIs" priority="17" operator="equal" aboveAverage="0" equalAverage="0" bottom="0" percent="0" rank="0" text="" dxfId="0">
      <formula>"Completed"</formula>
    </cfRule>
    <cfRule type="cellIs" priority="18" operator="equal" aboveAverage="0" equalAverage="0" bottom="0" percent="0" rank="0" text="" dxfId="2">
      <formula>"Failed"</formula>
    </cfRule>
    <cfRule type="cellIs" priority="19" operator="equal" aboveAverage="0" equalAverage="0" bottom="0" percent="0" rank="0" text="" dxfId="2">
      <formula>"Deferred"</formula>
    </cfRule>
    <cfRule type="cellIs" priority="20" operator="equal" aboveAverage="0" equalAverage="0" bottom="0" percent="0" rank="0" text="" dxfId="1">
      <formula>"Pending"</formula>
    </cfRule>
    <cfRule type="cellIs" priority="21" operator="equal" aboveAverage="0" equalAverage="0" bottom="0" percent="0" rank="0" text="" dxfId="1">
      <formula>"In Progress"</formula>
    </cfRule>
  </conditionalFormatting>
  <dataValidations count="1">
    <dataValidation allowBlank="true" errorStyle="stop" operator="between" showDropDown="false" showErrorMessage="false" showInputMessage="false" sqref="D5:D100 G5:G100 J5:J100 M5:M100" type="list">
      <formula1>"Not Started,Pending,In Progress,Completed,Failed,Deferred"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0" t="s">
        <v>118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customFormat="false" ht="31.5" hidden="false" customHeight="true" outlineLevel="0" collapsed="false">
      <c r="A4" s="11" t="s">
        <v>39</v>
      </c>
      <c r="B4" s="11" t="s">
        <v>119</v>
      </c>
      <c r="C4" s="11" t="s">
        <v>106</v>
      </c>
      <c r="D4" s="11" t="s">
        <v>120</v>
      </c>
      <c r="E4" s="11" t="s">
        <v>121</v>
      </c>
      <c r="F4" s="11" t="s">
        <v>122</v>
      </c>
      <c r="G4" s="11" t="s">
        <v>123</v>
      </c>
      <c r="H4" s="11" t="s">
        <v>124</v>
      </c>
      <c r="I4" s="11" t="s">
        <v>125</v>
      </c>
      <c r="J4" s="11" t="s">
        <v>126</v>
      </c>
      <c r="K4" s="11" t="s">
        <v>127</v>
      </c>
      <c r="L4" s="11" t="s">
        <v>86</v>
      </c>
    </row>
    <row r="5" customFormat="false" ht="23.85" hidden="false" customHeight="false" outlineLevel="0" collapsed="false">
      <c r="A5" s="4" t="s">
        <v>50</v>
      </c>
      <c r="B5" s="4" t="s">
        <v>128</v>
      </c>
      <c r="C5" s="4" t="s">
        <v>111</v>
      </c>
      <c r="D5" s="4" t="s">
        <v>129</v>
      </c>
      <c r="E5" s="4" t="s">
        <v>130</v>
      </c>
      <c r="F5" s="4" t="s">
        <v>131</v>
      </c>
      <c r="G5" s="15" t="n">
        <f aca="false">IF(C5&lt;&gt;"",C5-15,"")</f>
        <v>45961</v>
      </c>
      <c r="H5" s="4" t="s">
        <v>90</v>
      </c>
      <c r="I5" s="4" t="s">
        <v>132</v>
      </c>
      <c r="J5" s="15" t="n">
        <f aca="false">IF(C5&lt;&gt;"",WORKDAY(C5,-3),"")</f>
        <v>45973</v>
      </c>
      <c r="K5" s="4" t="s">
        <v>133</v>
      </c>
      <c r="L5" s="4"/>
    </row>
    <row r="6" customFormat="false" ht="23.85" hidden="false" customHeight="false" outlineLevel="0" collapsed="false">
      <c r="A6" s="4" t="s">
        <v>50</v>
      </c>
      <c r="B6" s="4" t="s">
        <v>134</v>
      </c>
      <c r="C6" s="4" t="s">
        <v>112</v>
      </c>
      <c r="D6" s="4" t="s">
        <v>129</v>
      </c>
      <c r="E6" s="4" t="s">
        <v>130</v>
      </c>
      <c r="F6" s="4" t="s">
        <v>135</v>
      </c>
      <c r="G6" s="15" t="n">
        <f aca="false">IF(C6&lt;&gt;"",C6-15,"")</f>
        <v>45991</v>
      </c>
      <c r="H6" s="4" t="s">
        <v>90</v>
      </c>
      <c r="I6" s="4" t="s">
        <v>136</v>
      </c>
      <c r="J6" s="15" t="n">
        <f aca="false">IF(C6&lt;&gt;"",WORKDAY(C6,-3),"")</f>
        <v>46001</v>
      </c>
      <c r="K6" s="4" t="s">
        <v>133</v>
      </c>
      <c r="L6" s="4"/>
    </row>
    <row r="7" customFormat="false" ht="15" hidden="false" customHeight="false" outlineLevel="0" collapsed="false">
      <c r="A7" s="4" t="s">
        <v>50</v>
      </c>
      <c r="B7" s="4" t="s">
        <v>137</v>
      </c>
      <c r="C7" s="4" t="s">
        <v>56</v>
      </c>
      <c r="D7" s="4" t="s">
        <v>138</v>
      </c>
      <c r="E7" s="4" t="s">
        <v>139</v>
      </c>
      <c r="F7" s="4" t="s">
        <v>140</v>
      </c>
      <c r="G7" s="15" t="n">
        <f aca="false">IF(C7&lt;&gt;"",C7-15,"")</f>
        <v>46022</v>
      </c>
      <c r="H7" s="4" t="s">
        <v>141</v>
      </c>
      <c r="I7" s="4"/>
      <c r="J7" s="15" t="n">
        <f aca="false">IF(C7&lt;&gt;"",WORKDAY(C7,-3),"")</f>
        <v>46034</v>
      </c>
      <c r="K7" s="4" t="s">
        <v>113</v>
      </c>
      <c r="L7" s="4"/>
    </row>
    <row r="8" customFormat="false" ht="23.85" hidden="false" customHeight="false" outlineLevel="0" collapsed="false">
      <c r="A8" s="4" t="s">
        <v>65</v>
      </c>
      <c r="B8" s="4" t="s">
        <v>128</v>
      </c>
      <c r="C8" s="4"/>
      <c r="D8" s="4" t="s">
        <v>129</v>
      </c>
      <c r="E8" s="4" t="s">
        <v>130</v>
      </c>
      <c r="F8" s="4"/>
      <c r="G8" s="15" t="str">
        <f aca="false">IF(C8&lt;&gt;"",C8-15,"")</f>
        <v/>
      </c>
      <c r="H8" s="4" t="s">
        <v>142</v>
      </c>
      <c r="I8" s="4"/>
      <c r="J8" s="15" t="str">
        <f aca="false">IF(C8&lt;&gt;"",WORKDAY(C8,-3),"")</f>
        <v/>
      </c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15" t="str">
        <f aca="false">IF(C9&lt;&gt;"",C9-15,"")</f>
        <v/>
      </c>
      <c r="H9" s="4"/>
      <c r="I9" s="4"/>
      <c r="J9" s="15" t="str">
        <f aca="false">IF(C9&lt;&gt;"",WORKDAY(C9,-3),"")</f>
        <v/>
      </c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15" t="str">
        <f aca="false">IF(C10&lt;&gt;"",C10-15,"")</f>
        <v/>
      </c>
      <c r="H10" s="4"/>
      <c r="I10" s="4"/>
      <c r="J10" s="15" t="str">
        <f aca="false">IF(C10&lt;&gt;"",WORKDAY(C10,-3),"")</f>
        <v/>
      </c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15" t="str">
        <f aca="false">IF(C11&lt;&gt;"",C11-15,"")</f>
        <v/>
      </c>
      <c r="H11" s="4"/>
      <c r="I11" s="4"/>
      <c r="J11" s="15" t="str">
        <f aca="false">IF(C11&lt;&gt;"",WORKDAY(C11,-3),"")</f>
        <v/>
      </c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15" t="str">
        <f aca="false">IF(C12&lt;&gt;"",C12-15,"")</f>
        <v/>
      </c>
      <c r="H12" s="4"/>
      <c r="I12" s="4"/>
      <c r="J12" s="15" t="str">
        <f aca="false">IF(C12&lt;&gt;"",WORKDAY(C12,-3),"")</f>
        <v/>
      </c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15" t="str">
        <f aca="false">IF(C13&lt;&gt;"",C13-15,"")</f>
        <v/>
      </c>
      <c r="H13" s="4"/>
      <c r="I13" s="4"/>
      <c r="J13" s="15" t="str">
        <f aca="false">IF(C13&lt;&gt;"",WORKDAY(C13,-3),"")</f>
        <v/>
      </c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15" t="str">
        <f aca="false">IF(C14&lt;&gt;"",C14-15,"")</f>
        <v/>
      </c>
      <c r="H14" s="4"/>
      <c r="I14" s="4"/>
      <c r="J14" s="15" t="str">
        <f aca="false">IF(C14&lt;&gt;"",WORKDAY(C14,-3),"")</f>
        <v/>
      </c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15" t="str">
        <f aca="false">IF(C15&lt;&gt;"",C15-15,"")</f>
        <v/>
      </c>
      <c r="H15" s="4"/>
      <c r="I15" s="4"/>
      <c r="J15" s="15" t="str">
        <f aca="false">IF(C15&lt;&gt;"",WORKDAY(C15,-3),"")</f>
        <v/>
      </c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15" t="str">
        <f aca="false">IF(C16&lt;&gt;"",C16-15,"")</f>
        <v/>
      </c>
      <c r="H16" s="4"/>
      <c r="I16" s="4"/>
      <c r="J16" s="15" t="str">
        <f aca="false">IF(C16&lt;&gt;"",WORKDAY(C16,-3),"")</f>
        <v/>
      </c>
      <c r="K16" s="4"/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15" t="str">
        <f aca="false">IF(C17&lt;&gt;"",C17-15,"")</f>
        <v/>
      </c>
      <c r="H17" s="4"/>
      <c r="I17" s="4"/>
      <c r="J17" s="15" t="str">
        <f aca="false">IF(C17&lt;&gt;"",WORKDAY(C17,-3),"")</f>
        <v/>
      </c>
      <c r="K17" s="4"/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15" t="str">
        <f aca="false">IF(C18&lt;&gt;"",C18-15,"")</f>
        <v/>
      </c>
      <c r="H18" s="4"/>
      <c r="I18" s="4"/>
      <c r="J18" s="15" t="str">
        <f aca="false">IF(C18&lt;&gt;"",WORKDAY(C18,-3),"")</f>
        <v/>
      </c>
      <c r="K18" s="4"/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15" t="str">
        <f aca="false">IF(C19&lt;&gt;"",C19-15,"")</f>
        <v/>
      </c>
      <c r="H19" s="4"/>
      <c r="I19" s="4"/>
      <c r="J19" s="15" t="str">
        <f aca="false">IF(C19&lt;&gt;"",WORKDAY(C19,-3),"")</f>
        <v/>
      </c>
      <c r="K19" s="4"/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15" t="str">
        <f aca="false">IF(C20&lt;&gt;"",C20-15,"")</f>
        <v/>
      </c>
      <c r="H20" s="4"/>
      <c r="I20" s="4"/>
      <c r="J20" s="15" t="str">
        <f aca="false">IF(C20&lt;&gt;"",WORKDAY(C20,-3),"")</f>
        <v/>
      </c>
      <c r="K20" s="4"/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15" t="str">
        <f aca="false">IF(C21&lt;&gt;"",C21-15,"")</f>
        <v/>
      </c>
      <c r="H21" s="4"/>
      <c r="I21" s="4"/>
      <c r="J21" s="15" t="str">
        <f aca="false">IF(C21&lt;&gt;"",WORKDAY(C21,-3),"")</f>
        <v/>
      </c>
      <c r="K21" s="4"/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15" t="str">
        <f aca="false">IF(C22&lt;&gt;"",C22-15,"")</f>
        <v/>
      </c>
      <c r="H22" s="4"/>
      <c r="I22" s="4"/>
      <c r="J22" s="15" t="str">
        <f aca="false">IF(C22&lt;&gt;"",WORKDAY(C22,-3),"")</f>
        <v/>
      </c>
      <c r="K22" s="4"/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15" t="str">
        <f aca="false">IF(C23&lt;&gt;"",C23-15,"")</f>
        <v/>
      </c>
      <c r="H23" s="4"/>
      <c r="I23" s="4"/>
      <c r="J23" s="15" t="str">
        <f aca="false">IF(C23&lt;&gt;"",WORKDAY(C23,-3),"")</f>
        <v/>
      </c>
      <c r="K23" s="4"/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15" t="str">
        <f aca="false">IF(C24&lt;&gt;"",C24-15,"")</f>
        <v/>
      </c>
      <c r="H24" s="4"/>
      <c r="I24" s="4"/>
      <c r="J24" s="15" t="str">
        <f aca="false">IF(C24&lt;&gt;"",WORKDAY(C24,-3),"")</f>
        <v/>
      </c>
      <c r="K24" s="4"/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15" t="str">
        <f aca="false">IF(C25&lt;&gt;"",C25-15,"")</f>
        <v/>
      </c>
      <c r="H25" s="4"/>
      <c r="I25" s="4"/>
      <c r="J25" s="15" t="str">
        <f aca="false">IF(C25&lt;&gt;"",WORKDAY(C25,-3),"")</f>
        <v/>
      </c>
      <c r="K25" s="4"/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15" t="str">
        <f aca="false">IF(C26&lt;&gt;"",C26-15,"")</f>
        <v/>
      </c>
      <c r="H26" s="4"/>
      <c r="I26" s="4"/>
      <c r="J26" s="15" t="str">
        <f aca="false">IF(C26&lt;&gt;"",WORKDAY(C26,-3),"")</f>
        <v/>
      </c>
      <c r="K26" s="4"/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15" t="str">
        <f aca="false">IF(C27&lt;&gt;"",C27-15,"")</f>
        <v/>
      </c>
      <c r="H27" s="4"/>
      <c r="I27" s="4"/>
      <c r="J27" s="15" t="str">
        <f aca="false">IF(C27&lt;&gt;"",WORKDAY(C27,-3),"")</f>
        <v/>
      </c>
      <c r="K27" s="4"/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15" t="str">
        <f aca="false">IF(C28&lt;&gt;"",C28-15,"")</f>
        <v/>
      </c>
      <c r="H28" s="4"/>
      <c r="I28" s="4"/>
      <c r="J28" s="15" t="str">
        <f aca="false">IF(C28&lt;&gt;"",WORKDAY(C28,-3),"")</f>
        <v/>
      </c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15" t="str">
        <f aca="false">IF(C29&lt;&gt;"",C29-15,"")</f>
        <v/>
      </c>
      <c r="H29" s="4"/>
      <c r="I29" s="4"/>
      <c r="J29" s="15" t="str">
        <f aca="false">IF(C29&lt;&gt;"",WORKDAY(C29,-3),"")</f>
        <v/>
      </c>
      <c r="K29" s="4"/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15" t="str">
        <f aca="false">IF(C30&lt;&gt;"",C30-15,"")</f>
        <v/>
      </c>
      <c r="H30" s="4"/>
      <c r="I30" s="4"/>
      <c r="J30" s="15" t="str">
        <f aca="false">IF(C30&lt;&gt;"",WORKDAY(C30,-3),"")</f>
        <v/>
      </c>
      <c r="K30" s="4"/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15" t="str">
        <f aca="false">IF(C31&lt;&gt;"",C31-15,"")</f>
        <v/>
      </c>
      <c r="H31" s="4"/>
      <c r="I31" s="4"/>
      <c r="J31" s="15" t="str">
        <f aca="false">IF(C31&lt;&gt;"",WORKDAY(C31,-3),"")</f>
        <v/>
      </c>
      <c r="K31" s="4"/>
      <c r="L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15" t="str">
        <f aca="false">IF(C32&lt;&gt;"",C32-15,"")</f>
        <v/>
      </c>
      <c r="H32" s="4"/>
      <c r="I32" s="4"/>
      <c r="J32" s="15" t="str">
        <f aca="false">IF(C32&lt;&gt;"",WORKDAY(C32,-3),"")</f>
        <v/>
      </c>
      <c r="K32" s="4"/>
      <c r="L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15" t="str">
        <f aca="false">IF(C33&lt;&gt;"",C33-15,"")</f>
        <v/>
      </c>
      <c r="H33" s="4"/>
      <c r="I33" s="4"/>
      <c r="J33" s="15" t="str">
        <f aca="false">IF(C33&lt;&gt;"",WORKDAY(C33,-3),"")</f>
        <v/>
      </c>
      <c r="K33" s="4"/>
      <c r="L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15" t="str">
        <f aca="false">IF(C34&lt;&gt;"",C34-15,"")</f>
        <v/>
      </c>
      <c r="H34" s="4"/>
      <c r="I34" s="4"/>
      <c r="J34" s="15" t="str">
        <f aca="false">IF(C34&lt;&gt;"",WORKDAY(C34,-3),"")</f>
        <v/>
      </c>
      <c r="K34" s="4"/>
      <c r="L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15" t="str">
        <f aca="false">IF(C35&lt;&gt;"",C35-15,"")</f>
        <v/>
      </c>
      <c r="H35" s="4"/>
      <c r="I35" s="4"/>
      <c r="J35" s="15" t="str">
        <f aca="false">IF(C35&lt;&gt;"",WORKDAY(C35,-3),"")</f>
        <v/>
      </c>
      <c r="K35" s="4"/>
      <c r="L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15" t="str">
        <f aca="false">IF(C36&lt;&gt;"",C36-15,"")</f>
        <v/>
      </c>
      <c r="H36" s="4"/>
      <c r="I36" s="4"/>
      <c r="J36" s="15" t="str">
        <f aca="false">IF(C36&lt;&gt;"",WORKDAY(C36,-3),"")</f>
        <v/>
      </c>
      <c r="K36" s="4"/>
      <c r="L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15" t="str">
        <f aca="false">IF(C37&lt;&gt;"",C37-15,"")</f>
        <v/>
      </c>
      <c r="H37" s="4"/>
      <c r="I37" s="4"/>
      <c r="J37" s="15" t="str">
        <f aca="false">IF(C37&lt;&gt;"",WORKDAY(C37,-3),"")</f>
        <v/>
      </c>
      <c r="K37" s="4"/>
      <c r="L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15" t="str">
        <f aca="false">IF(C38&lt;&gt;"",C38-15,"")</f>
        <v/>
      </c>
      <c r="H38" s="4"/>
      <c r="I38" s="4"/>
      <c r="J38" s="15" t="str">
        <f aca="false">IF(C38&lt;&gt;"",WORKDAY(C38,-3),"")</f>
        <v/>
      </c>
      <c r="K38" s="4"/>
      <c r="L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15" t="str">
        <f aca="false">IF(C39&lt;&gt;"",C39-15,"")</f>
        <v/>
      </c>
      <c r="H39" s="4"/>
      <c r="I39" s="4"/>
      <c r="J39" s="15" t="str">
        <f aca="false">IF(C39&lt;&gt;"",WORKDAY(C39,-3),"")</f>
        <v/>
      </c>
      <c r="K39" s="4"/>
      <c r="L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15" t="str">
        <f aca="false">IF(C40&lt;&gt;"",C40-15,"")</f>
        <v/>
      </c>
      <c r="H40" s="4"/>
      <c r="I40" s="4"/>
      <c r="J40" s="15" t="str">
        <f aca="false">IF(C40&lt;&gt;"",WORKDAY(C40,-3),"")</f>
        <v/>
      </c>
      <c r="K40" s="4"/>
      <c r="L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15" t="str">
        <f aca="false">IF(C41&lt;&gt;"",C41-15,"")</f>
        <v/>
      </c>
      <c r="H41" s="4"/>
      <c r="I41" s="4"/>
      <c r="J41" s="15" t="str">
        <f aca="false">IF(C41&lt;&gt;"",WORKDAY(C41,-3),"")</f>
        <v/>
      </c>
      <c r="K41" s="4"/>
      <c r="L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15" t="str">
        <f aca="false">IF(C42&lt;&gt;"",C42-15,"")</f>
        <v/>
      </c>
      <c r="H42" s="4"/>
      <c r="I42" s="4"/>
      <c r="J42" s="15" t="str">
        <f aca="false">IF(C42&lt;&gt;"",WORKDAY(C42,-3),"")</f>
        <v/>
      </c>
      <c r="K42" s="4"/>
      <c r="L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15" t="str">
        <f aca="false">IF(C43&lt;&gt;"",C43-15,"")</f>
        <v/>
      </c>
      <c r="H43" s="4"/>
      <c r="I43" s="4"/>
      <c r="J43" s="15" t="str">
        <f aca="false">IF(C43&lt;&gt;"",WORKDAY(C43,-3),"")</f>
        <v/>
      </c>
      <c r="K43" s="4"/>
      <c r="L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15" t="str">
        <f aca="false">IF(C44&lt;&gt;"",C44-15,"")</f>
        <v/>
      </c>
      <c r="H44" s="4"/>
      <c r="I44" s="4"/>
      <c r="J44" s="15" t="str">
        <f aca="false">IF(C44&lt;&gt;"",WORKDAY(C44,-3),"")</f>
        <v/>
      </c>
      <c r="K44" s="4"/>
      <c r="L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15" t="str">
        <f aca="false">IF(C45&lt;&gt;"",C45-15,"")</f>
        <v/>
      </c>
      <c r="H45" s="4"/>
      <c r="I45" s="4"/>
      <c r="J45" s="15" t="str">
        <f aca="false">IF(C45&lt;&gt;"",WORKDAY(C45,-3),"")</f>
        <v/>
      </c>
      <c r="K45" s="4"/>
      <c r="L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15" t="str">
        <f aca="false">IF(C46&lt;&gt;"",C46-15,"")</f>
        <v/>
      </c>
      <c r="H46" s="4"/>
      <c r="I46" s="4"/>
      <c r="J46" s="15" t="str">
        <f aca="false">IF(C46&lt;&gt;"",WORKDAY(C46,-3),"")</f>
        <v/>
      </c>
      <c r="K46" s="4"/>
      <c r="L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15" t="str">
        <f aca="false">IF(C47&lt;&gt;"",C47-15,"")</f>
        <v/>
      </c>
      <c r="H47" s="4"/>
      <c r="I47" s="4"/>
      <c r="J47" s="15" t="str">
        <f aca="false">IF(C47&lt;&gt;"",WORKDAY(C47,-3),"")</f>
        <v/>
      </c>
      <c r="K47" s="4"/>
      <c r="L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15" t="str">
        <f aca="false">IF(C48&lt;&gt;"",C48-15,"")</f>
        <v/>
      </c>
      <c r="H48" s="4"/>
      <c r="I48" s="4"/>
      <c r="J48" s="15" t="str">
        <f aca="false">IF(C48&lt;&gt;"",WORKDAY(C48,-3),"")</f>
        <v/>
      </c>
      <c r="K48" s="4"/>
      <c r="L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15" t="str">
        <f aca="false">IF(C49&lt;&gt;"",C49-15,"")</f>
        <v/>
      </c>
      <c r="H49" s="4"/>
      <c r="I49" s="4"/>
      <c r="J49" s="15" t="str">
        <f aca="false">IF(C49&lt;&gt;"",WORKDAY(C49,-3),"")</f>
        <v/>
      </c>
      <c r="K49" s="4"/>
      <c r="L49" s="4"/>
    </row>
  </sheetData>
  <mergeCells count="2">
    <mergeCell ref="A1:L1"/>
    <mergeCell ref="A2:L2"/>
  </mergeCells>
  <conditionalFormatting sqref="H5:H1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2">
      <formula>"Rejected"</formula>
    </cfRule>
    <cfRule type="cellIs" priority="4" operator="equal" aboveAverage="0" equalAverage="0" bottom="0" percent="0" rank="0" text="" dxfId="2">
      <formula>"Not Requested"</formula>
    </cfRule>
    <cfRule type="cellIs" priority="5" operator="equal" aboveAverage="0" equalAverage="0" bottom="0" percent="0" rank="0" text="" dxfId="1">
      <formula>"Under Review"</formula>
    </cfRule>
    <cfRule type="cellIs" priority="6" operator="equal" aboveAverage="0" equalAverage="0" bottom="0" percent="0" rank="0" text="" dxfId="1">
      <formula>"Submitted"</formula>
    </cfRule>
  </conditionalFormatting>
  <conditionalFormatting sqref="K5:K100">
    <cfRule type="cellIs" priority="7" operator="equal" aboveAverage="0" equalAverage="0" bottom="0" percent="0" rank="0" text="" dxfId="0">
      <formula>"Confirmed"</formula>
    </cfRule>
    <cfRule type="cellIs" priority="8" operator="equal" aboveAverage="0" equalAverage="0" bottom="0" percent="0" rank="0" text="" dxfId="2">
      <formula>"Re-submission Required"</formula>
    </cfRule>
    <cfRule type="cellIs" priority="9" operator="equal" aboveAverage="0" equalAverage="0" bottom="0" percent="0" rank="0" text="" dxfId="1">
      <formula>"Pending"</formula>
    </cfRule>
  </conditionalFormatting>
  <conditionalFormatting sqref="G5:G100">
    <cfRule type="expression" priority="10" aboveAverage="0" equalAverage="0" bottom="0" percent="0" rank="0" text="" dxfId="2">
      <formula>AND(G5&lt;&gt;"",G5&lt;TODAY(),OR($H5="Not Requested",$H5="Submitted",$H5="Under Review"))</formula>
    </cfRule>
  </conditionalFormatting>
  <conditionalFormatting sqref="J5:J100">
    <cfRule type="expression" priority="11" aboveAverage="0" equalAverage="0" bottom="0" percent="0" rank="0" text="" dxfId="2">
      <formula>AND(J5&lt;&gt;"",J5&lt;TODAY(),$K5&lt;&gt;"Confirmed")</formula>
    </cfRule>
  </conditionalFormatting>
  <dataValidations count="3">
    <dataValidation allowBlank="true" errorStyle="stop" operator="between" showDropDown="false" showErrorMessage="false" showInputMessage="false" sqref="B5:B100" type="list">
      <formula1>"UA,OT,PR"</formula1>
      <formula2>0</formula2>
    </dataValidation>
    <dataValidation allowBlank="true" errorStyle="stop" operator="between" showDropDown="false" showErrorMessage="false" showInputMessage="false" sqref="H5:H100" type="list">
      <formula1>"Not Requested,Submitted,Under Review,Approved,Rejected"</formula1>
      <formula2>0</formula2>
    </dataValidation>
    <dataValidation allowBlank="true" errorStyle="stop" operator="between" showDropDown="false" showErrorMessage="false" showInputMessage="false" sqref="K5:K100" type="list">
      <formula1>"Pending,Confirmed,Re-submission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24"/>
    <col collapsed="false" customWidth="true" hidden="false" outlineLevel="0" max="8" min="7" style="0" width="18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0" t="s">
        <v>144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11" t="s">
        <v>39</v>
      </c>
      <c r="B4" s="11" t="s">
        <v>119</v>
      </c>
      <c r="C4" s="11" t="s">
        <v>106</v>
      </c>
      <c r="D4" s="11" t="s">
        <v>145</v>
      </c>
      <c r="E4" s="11" t="s">
        <v>146</v>
      </c>
      <c r="F4" s="11" t="s">
        <v>147</v>
      </c>
      <c r="G4" s="11" t="s">
        <v>148</v>
      </c>
      <c r="H4" s="11" t="s">
        <v>149</v>
      </c>
      <c r="I4" s="11" t="s">
        <v>86</v>
      </c>
    </row>
    <row r="5" customFormat="false" ht="15" hidden="false" customHeight="false" outlineLevel="0" collapsed="false">
      <c r="A5" s="4" t="s">
        <v>50</v>
      </c>
      <c r="B5" s="4" t="s">
        <v>150</v>
      </c>
      <c r="C5" s="4" t="s">
        <v>109</v>
      </c>
      <c r="D5" s="4" t="s">
        <v>74</v>
      </c>
      <c r="E5" s="4" t="s">
        <v>87</v>
      </c>
      <c r="F5" s="4" t="s">
        <v>74</v>
      </c>
      <c r="G5" s="4" t="str">
        <f aca="false">IF(AND(A5="",D5="",E5="",F5=""),"",IF(OR(AND(D5&lt;&gt;"—",D5&lt;&gt;"",D5=E5),AND(D5&lt;&gt;"—",D5&lt;&gt;"",D5=F5),AND(E5&lt;&gt;"—",E5&lt;&gt;"",E5=F5)),"⚠️ Same person - multi-role","OK"))</f>
        <v>OK</v>
      </c>
      <c r="H5" s="4" t="s">
        <v>133</v>
      </c>
      <c r="I5" s="4" t="s">
        <v>151</v>
      </c>
    </row>
    <row r="6" customFormat="false" ht="15" hidden="false" customHeight="false" outlineLevel="0" collapsed="false">
      <c r="A6" s="4" t="s">
        <v>50</v>
      </c>
      <c r="B6" s="4" t="s">
        <v>128</v>
      </c>
      <c r="C6" s="4" t="s">
        <v>111</v>
      </c>
      <c r="D6" s="4" t="s">
        <v>130</v>
      </c>
      <c r="E6" s="4" t="s">
        <v>87</v>
      </c>
      <c r="F6" s="4" t="s">
        <v>74</v>
      </c>
      <c r="G6" s="4" t="str">
        <f aca="false">IF(AND(A6="",D6="",E6="",F6=""),"",IF(OR(AND(D6&lt;&gt;"—",D6&lt;&gt;"",D6=E6),AND(D6&lt;&gt;"—",D6&lt;&gt;"",D6=F6),AND(E6&lt;&gt;"—",E6&lt;&gt;"",E6=F6)),"⚠️ Same person - multi-role","OK"))</f>
        <v>OK</v>
      </c>
      <c r="H6" s="4" t="s">
        <v>133</v>
      </c>
      <c r="I6" s="4"/>
    </row>
    <row r="7" customFormat="false" ht="15" hidden="false" customHeight="false" outlineLevel="0" collapsed="false">
      <c r="A7" s="4" t="s">
        <v>50</v>
      </c>
      <c r="B7" s="4" t="s">
        <v>134</v>
      </c>
      <c r="C7" s="4" t="s">
        <v>112</v>
      </c>
      <c r="D7" s="4" t="s">
        <v>130</v>
      </c>
      <c r="E7" s="4" t="s">
        <v>87</v>
      </c>
      <c r="F7" s="4" t="s">
        <v>74</v>
      </c>
      <c r="G7" s="4" t="str">
        <f aca="false">IF(AND(A7="",D7="",E7="",F7=""),"",IF(OR(AND(D7&lt;&gt;"—",D7&lt;&gt;"",D7=E7),AND(D7&lt;&gt;"—",D7&lt;&gt;"",D7=F7),AND(E7&lt;&gt;"—",E7&lt;&gt;"",E7=F7)),"⚠️ Same person - multi-role","OK"))</f>
        <v>OK</v>
      </c>
      <c r="H7" s="4" t="s">
        <v>133</v>
      </c>
      <c r="I7" s="4"/>
    </row>
    <row r="8" customFormat="false" ht="15" hidden="false" customHeight="false" outlineLevel="0" collapsed="false">
      <c r="A8" s="4" t="s">
        <v>50</v>
      </c>
      <c r="B8" s="4" t="s">
        <v>137</v>
      </c>
      <c r="C8" s="4" t="s">
        <v>56</v>
      </c>
      <c r="D8" s="4" t="s">
        <v>139</v>
      </c>
      <c r="E8" s="4" t="s">
        <v>87</v>
      </c>
      <c r="F8" s="4" t="s">
        <v>74</v>
      </c>
      <c r="G8" s="4" t="str">
        <f aca="false">IF(AND(A8="",D8="",E8="",F8=""),"",IF(OR(AND(D8&lt;&gt;"—",D8&lt;&gt;"",D8=E8),AND(D8&lt;&gt;"—",D8&lt;&gt;"",D8=F8),AND(E8&lt;&gt;"—",E8&lt;&gt;"",E8=F8)),"⚠️ Same person - multi-role","OK"))</f>
        <v>OK</v>
      </c>
      <c r="H8" s="4" t="s">
        <v>113</v>
      </c>
      <c r="I8" s="4" t="s">
        <v>152</v>
      </c>
    </row>
    <row r="9" customFormat="false" ht="15" hidden="false" customHeight="false" outlineLevel="0" collapsed="false">
      <c r="A9" s="4" t="s">
        <v>58</v>
      </c>
      <c r="B9" s="4" t="s">
        <v>128</v>
      </c>
      <c r="C9" s="4" t="s">
        <v>112</v>
      </c>
      <c r="D9" s="4" t="s">
        <v>74</v>
      </c>
      <c r="E9" s="4" t="s">
        <v>74</v>
      </c>
      <c r="F9" s="4" t="s">
        <v>93</v>
      </c>
      <c r="G9" s="4" t="str">
        <f aca="false">IF(AND(A9="",D9="",E9="",F9=""),"",IF(OR(AND(D9&lt;&gt;"—",D9&lt;&gt;"",D9=E9),AND(D9&lt;&gt;"—",D9&lt;&gt;"",D9=F9),AND(E9&lt;&gt;"—",E9&lt;&gt;"",E9=F9)),"⚠️ Same person - multi-role","OK"))</f>
        <v>OK</v>
      </c>
      <c r="H9" s="4" t="s">
        <v>133</v>
      </c>
      <c r="I9" s="4" t="s">
        <v>153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 t="str">
        <f aca="false">IF(AND(A10="",D10="",E10="",F10=""),"",IF(OR(AND(D10&lt;&gt;"—",D10&lt;&gt;"",D10=E10),AND(D10&lt;&gt;"—",D10&lt;&gt;"",D10=F10),AND(E10&lt;&gt;"—",E10&lt;&gt;"",E10=F10)),"⚠️ Same person - multi-role","OK"))</f>
        <v/>
      </c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 t="str">
        <f aca="false">IF(AND(A11="",D11="",E11="",F11=""),"",IF(OR(AND(D11&lt;&gt;"—",D11&lt;&gt;"",D11=E11),AND(D11&lt;&gt;"—",D11&lt;&gt;"",D11=F11),AND(E11&lt;&gt;"—",E11&lt;&gt;"",E11=F11)),"⚠️ Same person - multi-role","OK"))</f>
        <v/>
      </c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 t="str">
        <f aca="false">IF(AND(A12="",D12="",E12="",F12=""),"",IF(OR(AND(D12&lt;&gt;"—",D12&lt;&gt;"",D12=E12),AND(D12&lt;&gt;"—",D12&lt;&gt;"",D12=F12),AND(E12&lt;&gt;"—",E12&lt;&gt;"",E12=F12)),"⚠️ Same person - multi-role","OK"))</f>
        <v/>
      </c>
      <c r="H12" s="4"/>
      <c r="I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 t="str">
        <f aca="false">IF(AND(A13="",D13="",E13="",F13=""),"",IF(OR(AND(D13&lt;&gt;"—",D13&lt;&gt;"",D13=E13),AND(D13&lt;&gt;"—",D13&lt;&gt;"",D13=F13),AND(E13&lt;&gt;"—",E13&lt;&gt;"",E13=F13)),"⚠️ Same person - multi-role","OK"))</f>
        <v/>
      </c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 t="str">
        <f aca="false">IF(AND(A14="",D14="",E14="",F14=""),"",IF(OR(AND(D14&lt;&gt;"—",D14&lt;&gt;"",D14=E14),AND(D14&lt;&gt;"—",D14&lt;&gt;"",D14=F14),AND(E14&lt;&gt;"—",E14&lt;&gt;"",E14=F14)),"⚠️ Same person - multi-role","OK"))</f>
        <v/>
      </c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 t="str">
        <f aca="false">IF(AND(A15="",D15="",E15="",F15=""),"",IF(OR(AND(D15&lt;&gt;"—",D15&lt;&gt;"",D15=E15),AND(D15&lt;&gt;"—",D15&lt;&gt;"",D15=F15),AND(E15&lt;&gt;"—",E15&lt;&gt;"",E15=F15)),"⚠️ Same person - multi-role","OK"))</f>
        <v/>
      </c>
      <c r="H15" s="4"/>
      <c r="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 t="str">
        <f aca="false">IF(AND(A16="",D16="",E16="",F16=""),"",IF(OR(AND(D16&lt;&gt;"—",D16&lt;&gt;"",D16=E16),AND(D16&lt;&gt;"—",D16&lt;&gt;"",D16=F16),AND(E16&lt;&gt;"—",E16&lt;&gt;"",E16=F16)),"⚠️ Same person - multi-role","OK"))</f>
        <v/>
      </c>
      <c r="H16" s="4"/>
      <c r="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 t="str">
        <f aca="false">IF(AND(A17="",D17="",E17="",F17=""),"",IF(OR(AND(D17&lt;&gt;"—",D17&lt;&gt;"",D17=E17),AND(D17&lt;&gt;"—",D17&lt;&gt;"",D17=F17),AND(E17&lt;&gt;"—",E17&lt;&gt;"",E17=F17)),"⚠️ Same person - multi-role","OK"))</f>
        <v/>
      </c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 t="str">
        <f aca="false">IF(AND(A18="",D18="",E18="",F18=""),"",IF(OR(AND(D18&lt;&gt;"—",D18&lt;&gt;"",D18=E18),AND(D18&lt;&gt;"—",D18&lt;&gt;"",D18=F18),AND(E18&lt;&gt;"—",E18&lt;&gt;"",E18=F18)),"⚠️ Same person - multi-role","OK"))</f>
        <v/>
      </c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 t="str">
        <f aca="false">IF(AND(A19="",D19="",E19="",F19=""),"",IF(OR(AND(D19&lt;&gt;"—",D19&lt;&gt;"",D19=E19),AND(D19&lt;&gt;"—",D19&lt;&gt;"",D19=F19),AND(E19&lt;&gt;"—",E19&lt;&gt;"",E19=F19)),"⚠️ Same person - multi-role","OK"))</f>
        <v/>
      </c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 t="str">
        <f aca="false">IF(AND(A20="",D20="",E20="",F20=""),"",IF(OR(AND(D20&lt;&gt;"—",D20&lt;&gt;"",D20=E20),AND(D20&lt;&gt;"—",D20&lt;&gt;"",D20=F20),AND(E20&lt;&gt;"—",E20&lt;&gt;"",E20=F20)),"⚠️ Same person - multi-role","OK"))</f>
        <v/>
      </c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 t="str">
        <f aca="false">IF(AND(A21="",D21="",E21="",F21=""),"",IF(OR(AND(D21&lt;&gt;"—",D21&lt;&gt;"",D21=E21),AND(D21&lt;&gt;"—",D21&lt;&gt;"",D21=F21),AND(E21&lt;&gt;"—",E21&lt;&gt;"",E21=F21)),"⚠️ Same person - multi-role","OK"))</f>
        <v/>
      </c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 t="str">
        <f aca="false">IF(AND(A22="",D22="",E22="",F22=""),"",IF(OR(AND(D22&lt;&gt;"—",D22&lt;&gt;"",D22=E22),AND(D22&lt;&gt;"—",D22&lt;&gt;"",D22=F22),AND(E22&lt;&gt;"—",E22&lt;&gt;"",E22=F22)),"⚠️ Same person - multi-role","OK"))</f>
        <v/>
      </c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 t="str">
        <f aca="false">IF(AND(A23="",D23="",E23="",F23=""),"",IF(OR(AND(D23&lt;&gt;"—",D23&lt;&gt;"",D23=E23),AND(D23&lt;&gt;"—",D23&lt;&gt;"",D23=F23),AND(E23&lt;&gt;"—",E23&lt;&gt;"",E23=F23)),"⚠️ Same person - multi-role","OK"))</f>
        <v/>
      </c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 t="str">
        <f aca="false">IF(AND(A24="",D24="",E24="",F24=""),"",IF(OR(AND(D24&lt;&gt;"—",D24&lt;&gt;"",D24=E24),AND(D24&lt;&gt;"—",D24&lt;&gt;"",D24=F24),AND(E24&lt;&gt;"—",E24&lt;&gt;"",E24=F24)),"⚠️ Same person - multi-role","OK"))</f>
        <v/>
      </c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 t="str">
        <f aca="false">IF(AND(A25="",D25="",E25="",F25=""),"",IF(OR(AND(D25&lt;&gt;"—",D25&lt;&gt;"",D25=E25),AND(D25&lt;&gt;"—",D25&lt;&gt;"",D25=F25),AND(E25&lt;&gt;"—",E25&lt;&gt;"",E25=F25)),"⚠️ Same person - multi-role","OK"))</f>
        <v/>
      </c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 t="str">
        <f aca="false">IF(AND(A26="",D26="",E26="",F26=""),"",IF(OR(AND(D26&lt;&gt;"—",D26&lt;&gt;"",D26=E26),AND(D26&lt;&gt;"—",D26&lt;&gt;"",D26=F26),AND(E26&lt;&gt;"—",E26&lt;&gt;"",E26=F26)),"⚠️ Same person - multi-role","OK"))</f>
        <v/>
      </c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 t="str">
        <f aca="false">IF(AND(A27="",D27="",E27="",F27=""),"",IF(OR(AND(D27&lt;&gt;"—",D27&lt;&gt;"",D27=E27),AND(D27&lt;&gt;"—",D27&lt;&gt;"",D27=F27),AND(E27&lt;&gt;"—",E27&lt;&gt;"",E27=F27)),"⚠️ Same person - multi-role","OK"))</f>
        <v/>
      </c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 t="str">
        <f aca="false">IF(AND(A28="",D28="",E28="",F28=""),"",IF(OR(AND(D28&lt;&gt;"—",D28&lt;&gt;"",D28=E28),AND(D28&lt;&gt;"—",D28&lt;&gt;"",D28=F28),AND(E28&lt;&gt;"—",E28&lt;&gt;"",E28=F28)),"⚠️ Same person - multi-role","OK"))</f>
        <v/>
      </c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 t="str">
        <f aca="false">IF(AND(A29="",D29="",E29="",F29=""),"",IF(OR(AND(D29&lt;&gt;"—",D29&lt;&gt;"",D29=E29),AND(D29&lt;&gt;"—",D29&lt;&gt;"",D29=F29),AND(E29&lt;&gt;"—",E29&lt;&gt;"",E29=F29)),"⚠️ Same person - multi-role","OK"))</f>
        <v/>
      </c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 t="str">
        <f aca="false">IF(AND(A30="",D30="",E30="",F30=""),"",IF(OR(AND(D30&lt;&gt;"—",D30&lt;&gt;"",D30=E30),AND(D30&lt;&gt;"—",D30&lt;&gt;"",D30=F30),AND(E30&lt;&gt;"—",E30&lt;&gt;"",E30=F30)),"⚠️ Same person - multi-role","OK"))</f>
        <v/>
      </c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 t="str">
        <f aca="false">IF(AND(A31="",D31="",E31="",F31=""),"",IF(OR(AND(D31&lt;&gt;"—",D31&lt;&gt;"",D31=E31),AND(D31&lt;&gt;"—",D31&lt;&gt;"",D31=F31),AND(E31&lt;&gt;"—",E31&lt;&gt;"",E31=F31)),"⚠️ Same person - multi-role","OK"))</f>
        <v/>
      </c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 t="str">
        <f aca="false">IF(AND(A32="",D32="",E32="",F32=""),"",IF(OR(AND(D32&lt;&gt;"—",D32&lt;&gt;"",D32=E32),AND(D32&lt;&gt;"—",D32&lt;&gt;"",D32=F32),AND(E32&lt;&gt;"—",E32&lt;&gt;"",E32=F32)),"⚠️ Same person - multi-role","OK"))</f>
        <v/>
      </c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 t="str">
        <f aca="false">IF(AND(A33="",D33="",E33="",F33=""),"",IF(OR(AND(D33&lt;&gt;"—",D33&lt;&gt;"",D33=E33),AND(D33&lt;&gt;"—",D33&lt;&gt;"",D33=F33),AND(E33&lt;&gt;"—",E33&lt;&gt;"",E33=F33)),"⚠️ Same person - multi-role","OK"))</f>
        <v/>
      </c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 t="str">
        <f aca="false">IF(AND(A34="",D34="",E34="",F34=""),"",IF(OR(AND(D34&lt;&gt;"—",D34&lt;&gt;"",D34=E34),AND(D34&lt;&gt;"—",D34&lt;&gt;"",D34=F34),AND(E34&lt;&gt;"—",E34&lt;&gt;"",E34=F34)),"⚠️ Same person - multi-role","OK"))</f>
        <v/>
      </c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 t="str">
        <f aca="false">IF(AND(A35="",D35="",E35="",F35=""),"",IF(OR(AND(D35&lt;&gt;"—",D35&lt;&gt;"",D35=E35),AND(D35&lt;&gt;"—",D35&lt;&gt;"",D35=F35),AND(E35&lt;&gt;"—",E35&lt;&gt;"",E35=F35)),"⚠️ Same person - multi-role","OK"))</f>
        <v/>
      </c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 t="str">
        <f aca="false">IF(AND(A36="",D36="",E36="",F36=""),"",IF(OR(AND(D36&lt;&gt;"—",D36&lt;&gt;"",D36=E36),AND(D36&lt;&gt;"—",D36&lt;&gt;"",D36=F36),AND(E36&lt;&gt;"—",E36&lt;&gt;"",E36=F36)),"⚠️ Same person - multi-role","OK"))</f>
        <v/>
      </c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 t="str">
        <f aca="false">IF(AND(A37="",D37="",E37="",F37=""),"",IF(OR(AND(D37&lt;&gt;"—",D37&lt;&gt;"",D37=E37),AND(D37&lt;&gt;"—",D37&lt;&gt;"",D37=F37),AND(E37&lt;&gt;"—",E37&lt;&gt;"",E37=F37)),"⚠️ Same person - multi-role","OK"))</f>
        <v/>
      </c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 t="str">
        <f aca="false">IF(AND(A38="",D38="",E38="",F38=""),"",IF(OR(AND(D38&lt;&gt;"—",D38&lt;&gt;"",D38=E38),AND(D38&lt;&gt;"—",D38&lt;&gt;"",D38=F38),AND(E38&lt;&gt;"—",E38&lt;&gt;"",E38=F38)),"⚠️ Same person - multi-role","OK"))</f>
        <v/>
      </c>
      <c r="H38" s="4"/>
      <c r="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 t="str">
        <f aca="false">IF(AND(A39="",D39="",E39="",F39=""),"",IF(OR(AND(D39&lt;&gt;"—",D39&lt;&gt;"",D39=E39),AND(D39&lt;&gt;"—",D39&lt;&gt;"",D39=F39),AND(E39&lt;&gt;"—",E39&lt;&gt;"",E39=F39)),"⚠️ Same person - multi-role","OK"))</f>
        <v/>
      </c>
      <c r="H39" s="4"/>
      <c r="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 t="str">
        <f aca="false">IF(AND(A40="",D40="",E40="",F40=""),"",IF(OR(AND(D40&lt;&gt;"—",D40&lt;&gt;"",D40=E40),AND(D40&lt;&gt;"—",D40&lt;&gt;"",D40=F40),AND(E40&lt;&gt;"—",E40&lt;&gt;"",E40=F40)),"⚠️ Same person - multi-role","OK"))</f>
        <v/>
      </c>
      <c r="H40" s="4"/>
      <c r="I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 t="str">
        <f aca="false">IF(AND(A41="",D41="",E41="",F41=""),"",IF(OR(AND(D41&lt;&gt;"—",D41&lt;&gt;"",D41=E41),AND(D41&lt;&gt;"—",D41&lt;&gt;"",D41=F41),AND(E41&lt;&gt;"—",E41&lt;&gt;"",E41=F41)),"⚠️ Same person - multi-role","OK"))</f>
        <v/>
      </c>
      <c r="H41" s="4"/>
      <c r="I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 t="str">
        <f aca="false">IF(AND(A42="",D42="",E42="",F42=""),"",IF(OR(AND(D42&lt;&gt;"—",D42&lt;&gt;"",D42=E42),AND(D42&lt;&gt;"—",D42&lt;&gt;"",D42=F42),AND(E42&lt;&gt;"—",E42&lt;&gt;"",E42=F42)),"⚠️ Same person - multi-role","OK"))</f>
        <v/>
      </c>
      <c r="H42" s="4"/>
      <c r="I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 t="str">
        <f aca="false">IF(AND(A43="",D43="",E43="",F43=""),"",IF(OR(AND(D43&lt;&gt;"—",D43&lt;&gt;"",D43=E43),AND(D43&lt;&gt;"—",D43&lt;&gt;"",D43=F43),AND(E43&lt;&gt;"—",E43&lt;&gt;"",E43=F43)),"⚠️ Same person - multi-role","OK"))</f>
        <v/>
      </c>
      <c r="H43" s="4"/>
      <c r="I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 t="str">
        <f aca="false">IF(AND(A44="",D44="",E44="",F44=""),"",IF(OR(AND(D44&lt;&gt;"—",D44&lt;&gt;"",D44=E44),AND(D44&lt;&gt;"—",D44&lt;&gt;"",D44=F44),AND(E44&lt;&gt;"—",E44&lt;&gt;"",E44=F44)),"⚠️ Same person - multi-role","OK"))</f>
        <v/>
      </c>
      <c r="H44" s="4"/>
      <c r="I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 t="str">
        <f aca="false">IF(AND(A45="",D45="",E45="",F45=""),"",IF(OR(AND(D45&lt;&gt;"—",D45&lt;&gt;"",D45=E45),AND(D45&lt;&gt;"—",D45&lt;&gt;"",D45=F45),AND(E45&lt;&gt;"—",E45&lt;&gt;"",E45=F45)),"⚠️ Same person - multi-role","OK"))</f>
        <v/>
      </c>
      <c r="H45" s="4"/>
      <c r="I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 t="str">
        <f aca="false">IF(AND(A46="",D46="",E46="",F46=""),"",IF(OR(AND(D46&lt;&gt;"—",D46&lt;&gt;"",D46=E46),AND(D46&lt;&gt;"—",D46&lt;&gt;"",D46=F46),AND(E46&lt;&gt;"—",E46&lt;&gt;"",E46=F46)),"⚠️ Same person - multi-role","OK"))</f>
        <v/>
      </c>
      <c r="H46" s="4"/>
      <c r="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 t="str">
        <f aca="false">IF(AND(A47="",D47="",E47="",F47=""),"",IF(OR(AND(D47&lt;&gt;"—",D47&lt;&gt;"",D47=E47),AND(D47&lt;&gt;"—",D47&lt;&gt;"",D47=F47),AND(E47&lt;&gt;"—",E47&lt;&gt;"",E47=F47)),"⚠️ Same person - multi-role","OK"))</f>
        <v/>
      </c>
      <c r="H47" s="4"/>
      <c r="I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 t="str">
        <f aca="false">IF(AND(A48="",D48="",E48="",F48=""),"",IF(OR(AND(D48&lt;&gt;"—",D48&lt;&gt;"",D48=E48),AND(D48&lt;&gt;"—",D48&lt;&gt;"",D48=F48),AND(E48&lt;&gt;"—",E48&lt;&gt;"",E48=F48)),"⚠️ Same person - multi-role","OK"))</f>
        <v/>
      </c>
      <c r="H48" s="4"/>
      <c r="I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 t="str">
        <f aca="false">IF(AND(A49="",D49="",E49="",F49=""),"",IF(OR(AND(D49&lt;&gt;"—",D49&lt;&gt;"",D49=E49),AND(D49&lt;&gt;"—",D49&lt;&gt;"",D49=F49),AND(E49&lt;&gt;"—",E49&lt;&gt;"",E49=F49)),"⚠️ Same person - multi-role","OK"))</f>
        <v/>
      </c>
      <c r="H49" s="4"/>
      <c r="I49" s="4"/>
    </row>
  </sheetData>
  <mergeCells count="2">
    <mergeCell ref="A1:I1"/>
    <mergeCell ref="A2:I2"/>
  </mergeCells>
  <conditionalFormatting sqref="H5:H100">
    <cfRule type="cellIs" priority="2" operator="equal" aboveAverage="0" equalAverage="0" bottom="0" percent="0" rank="0" text="" dxfId="0">
      <formula>"Confirmed"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"Changed"</formula>
    </cfRule>
  </conditionalFormatting>
  <conditionalFormatting sqref="G5:G100">
    <cfRule type="expression" priority="5" aboveAverage="0" equalAverage="0" bottom="0" percent="0" rank="0" text="" dxfId="2">
      <formula>ISNUMBER(SEARCH("⚠️",G5))</formula>
    </cfRule>
  </conditionalFormatting>
  <dataValidations count="2">
    <dataValidation allowBlank="true" errorStyle="stop" operator="between" showDropDown="false" showErrorMessage="false" showInputMessage="false" sqref="B5:B100" type="list">
      <formula1>"UT,UA,OT,PR"</formula1>
      <formula2>0</formula2>
    </dataValidation>
    <dataValidation allowBlank="true" errorStyle="stop" operator="between" showDropDown="false" showErrorMessage="false" showInputMessage="false" sqref="H5:H100" type="list">
      <formula1>"Pending,Confirmed,Changed"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3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0" t="s">
        <v>155</v>
      </c>
      <c r="B2" s="10"/>
      <c r="C2" s="10"/>
      <c r="D2" s="10"/>
      <c r="E2" s="10"/>
      <c r="F2" s="10"/>
      <c r="G2" s="10"/>
      <c r="H2" s="10"/>
      <c r="I2" s="10"/>
      <c r="J2" s="10"/>
    </row>
    <row r="4" customFormat="false" ht="31.5" hidden="false" customHeight="true" outlineLevel="0" collapsed="false">
      <c r="A4" s="11" t="s">
        <v>39</v>
      </c>
      <c r="B4" s="11" t="s">
        <v>119</v>
      </c>
      <c r="C4" s="11" t="s">
        <v>106</v>
      </c>
      <c r="D4" s="11" t="s">
        <v>156</v>
      </c>
      <c r="E4" s="11" t="s">
        <v>157</v>
      </c>
      <c r="F4" s="11" t="s">
        <v>158</v>
      </c>
      <c r="G4" s="11" t="s">
        <v>159</v>
      </c>
      <c r="H4" s="11" t="s">
        <v>160</v>
      </c>
      <c r="I4" s="11" t="s">
        <v>161</v>
      </c>
      <c r="J4" s="11" t="s">
        <v>162</v>
      </c>
    </row>
    <row r="5" customFormat="false" ht="23.85" hidden="false" customHeight="false" outlineLevel="0" collapsed="false">
      <c r="A5" s="4" t="s">
        <v>50</v>
      </c>
      <c r="B5" s="4" t="s">
        <v>150</v>
      </c>
      <c r="C5" s="4" t="s">
        <v>109</v>
      </c>
      <c r="D5" s="4" t="s">
        <v>163</v>
      </c>
      <c r="E5" s="4" t="s">
        <v>164</v>
      </c>
      <c r="F5" s="4" t="s">
        <v>165</v>
      </c>
      <c r="G5" s="4" t="n">
        <v>0</v>
      </c>
      <c r="H5" s="4" t="s">
        <v>166</v>
      </c>
      <c r="I5" s="4" t="s">
        <v>167</v>
      </c>
      <c r="J5" s="4" t="s">
        <v>87</v>
      </c>
    </row>
    <row r="6" customFormat="false" ht="23.85" hidden="false" customHeight="false" outlineLevel="0" collapsed="false">
      <c r="A6" s="4" t="s">
        <v>50</v>
      </c>
      <c r="B6" s="4" t="s">
        <v>128</v>
      </c>
      <c r="C6" s="4" t="s">
        <v>111</v>
      </c>
      <c r="D6" s="4" t="s">
        <v>168</v>
      </c>
      <c r="E6" s="4" t="s">
        <v>169</v>
      </c>
      <c r="F6" s="4" t="s">
        <v>165</v>
      </c>
      <c r="G6" s="4" t="n">
        <v>2</v>
      </c>
      <c r="H6" s="4" t="s">
        <v>170</v>
      </c>
      <c r="I6" s="4" t="s">
        <v>171</v>
      </c>
      <c r="J6" s="4" t="s">
        <v>130</v>
      </c>
    </row>
    <row r="7" customFormat="false" ht="23.85" hidden="false" customHeight="false" outlineLevel="0" collapsed="false">
      <c r="A7" s="4" t="s">
        <v>50</v>
      </c>
      <c r="B7" s="4" t="s">
        <v>134</v>
      </c>
      <c r="C7" s="4" t="s">
        <v>112</v>
      </c>
      <c r="D7" s="4" t="s">
        <v>168</v>
      </c>
      <c r="E7" s="4" t="s">
        <v>172</v>
      </c>
      <c r="F7" s="4" t="s">
        <v>165</v>
      </c>
      <c r="G7" s="4" t="n">
        <v>1</v>
      </c>
      <c r="H7" s="4" t="s">
        <v>173</v>
      </c>
      <c r="I7" s="4" t="s">
        <v>174</v>
      </c>
      <c r="J7" s="4" t="s">
        <v>130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</sheetData>
  <mergeCells count="2">
    <mergeCell ref="A1:J1"/>
    <mergeCell ref="A2:J2"/>
  </mergeCells>
  <conditionalFormatting sqref="F5:F100">
    <cfRule type="cellIs" priority="2" operator="equal" aboveAverage="0" equalAverage="0" bottom="0" percent="0" rank="0" text="" dxfId="0">
      <formula>"Success"</formula>
    </cfRule>
    <cfRule type="cellIs" priority="3" operator="equal" aboveAverage="0" equalAverage="0" bottom="0" percent="0" rank="0" text="" dxfId="2">
      <formula>"Failed"</formula>
    </cfRule>
    <cfRule type="cellIs" priority="4" operator="equal" aboveAverage="0" equalAverage="0" bottom="0" percent="0" rank="0" text="" dxfId="2">
      <formula>"Deferred"</formula>
    </cfRule>
    <cfRule type="cellIs" priority="5" operator="equal" aboveAverage="0" equalAverage="0" bottom="0" percent="0" rank="0" text="" dxfId="1">
      <formula>"Partial Success"</formula>
    </cfRule>
  </conditionalFormatting>
  <dataValidations count="2">
    <dataValidation allowBlank="true" errorStyle="stop" operator="between" showDropDown="false" showErrorMessage="false" showInputMessage="false" sqref="B5:B100" type="list">
      <formula1>"UT,UA,OT,PR"</formula1>
      <formula2>0</formula2>
    </dataValidation>
    <dataValidation allowBlank="true" errorStyle="stop" operator="between" showDropDown="false" showErrorMessage="false" showInputMessage="false" sqref="F5:F100" type="list">
      <formula1>"Success,Partial Success,Failed,Deferred"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175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176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11" t="s">
        <v>177</v>
      </c>
      <c r="B4" s="11" t="s">
        <v>178</v>
      </c>
      <c r="C4" s="11" t="s">
        <v>179</v>
      </c>
      <c r="D4" s="11" t="s">
        <v>180</v>
      </c>
      <c r="E4" s="11" t="s">
        <v>181</v>
      </c>
      <c r="F4" s="11" t="s">
        <v>86</v>
      </c>
    </row>
    <row r="5" customFormat="false" ht="15" hidden="false" customHeight="false" outlineLevel="0" collapsed="false">
      <c r="A5" s="4" t="s">
        <v>182</v>
      </c>
      <c r="B5" s="4" t="s">
        <v>87</v>
      </c>
      <c r="C5" s="4" t="s">
        <v>183</v>
      </c>
      <c r="D5" s="4" t="s">
        <v>184</v>
      </c>
      <c r="E5" s="4" t="s">
        <v>185</v>
      </c>
      <c r="F5" s="4" t="s">
        <v>186</v>
      </c>
    </row>
    <row r="6" customFormat="false" ht="15" hidden="false" customHeight="false" outlineLevel="0" collapsed="false">
      <c r="A6" s="4" t="s">
        <v>129</v>
      </c>
      <c r="B6" s="4" t="s">
        <v>130</v>
      </c>
      <c r="C6" s="4" t="s">
        <v>187</v>
      </c>
      <c r="D6" s="4" t="s">
        <v>188</v>
      </c>
      <c r="E6" s="4" t="s">
        <v>189</v>
      </c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C5:C100" type="list">
      <formula1>"Annual Leave,Sick Leave,Personal Leave,Parental Leave,Other"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190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191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2" t="s">
        <v>192</v>
      </c>
      <c r="B4" s="2"/>
      <c r="D4" s="2" t="s">
        <v>193</v>
      </c>
      <c r="E4" s="2"/>
    </row>
    <row r="5" customFormat="false" ht="15" hidden="false" customHeight="false" outlineLevel="0" collapsed="false">
      <c r="A5" s="11" t="s">
        <v>83</v>
      </c>
      <c r="B5" s="11" t="s">
        <v>194</v>
      </c>
      <c r="D5" s="11" t="s">
        <v>83</v>
      </c>
      <c r="E5" s="11" t="s">
        <v>194</v>
      </c>
    </row>
    <row r="6" customFormat="false" ht="15" hidden="false" customHeight="false" outlineLevel="0" collapsed="false">
      <c r="A6" s="5" t="s">
        <v>70</v>
      </c>
      <c r="B6" s="12" t="n">
        <f aca="false">COUNTIF('1_Release Register'!K5:K100,"Not Started")</f>
        <v>2</v>
      </c>
      <c r="D6" s="5" t="s">
        <v>97</v>
      </c>
      <c r="E6" s="12" t="n">
        <f aca="false">COUNTIF('2_eBCI Requests'!F5:F100,"To Submit")</f>
        <v>2</v>
      </c>
    </row>
    <row r="7" customFormat="false" ht="15" hidden="false" customHeight="false" outlineLevel="0" collapsed="false">
      <c r="A7" s="5" t="s">
        <v>57</v>
      </c>
      <c r="B7" s="12" t="n">
        <f aca="false">COUNTIF('1_Release Register'!K5:K100,"In Progress")</f>
        <v>2</v>
      </c>
      <c r="D7" s="5" t="s">
        <v>195</v>
      </c>
      <c r="E7" s="12" t="n">
        <f aca="false">COUNTIF('2_eBCI Requests'!F5:F100,"Submitted")</f>
        <v>0</v>
      </c>
    </row>
    <row r="8" customFormat="false" ht="15" hidden="false" customHeight="false" outlineLevel="0" collapsed="false">
      <c r="A8" s="5" t="s">
        <v>196</v>
      </c>
      <c r="B8" s="12" t="n">
        <f aca="false">COUNTIF('1_Release Register'!K5:K100,"In Testing")</f>
        <v>0</v>
      </c>
      <c r="D8" s="5" t="s">
        <v>141</v>
      </c>
      <c r="E8" s="12" t="n">
        <f aca="false">COUNTIF('2_eBCI Requests'!F5:F100,"Under Review")</f>
        <v>0</v>
      </c>
    </row>
    <row r="9" customFormat="false" ht="15" hidden="false" customHeight="false" outlineLevel="0" collapsed="false">
      <c r="A9" s="5" t="s">
        <v>197</v>
      </c>
      <c r="B9" s="12" t="n">
        <f aca="false">COUNTIF('1_Release Register'!K5:K100,"Live")</f>
        <v>0</v>
      </c>
      <c r="D9" s="5" t="s">
        <v>90</v>
      </c>
      <c r="E9" s="12" t="n">
        <f aca="false">COUNTIF('2_eBCI Requests'!F5:F100,"Approved")</f>
        <v>2</v>
      </c>
    </row>
    <row r="10" customFormat="false" ht="15" hidden="false" customHeight="false" outlineLevel="0" collapsed="false">
      <c r="A10" s="5" t="s">
        <v>198</v>
      </c>
      <c r="B10" s="12" t="n">
        <f aca="false">COUNTIF('1_Release Register'!K5:K100,"Cancelled")</f>
        <v>0</v>
      </c>
      <c r="D10" s="5" t="s">
        <v>199</v>
      </c>
      <c r="E10" s="12" t="n">
        <f aca="false">COUNTIF('2_eBCI Requests'!F5:F100,"Rejected")</f>
        <v>0</v>
      </c>
    </row>
    <row r="11" customFormat="false" ht="15" hidden="false" customHeight="false" outlineLevel="0" collapsed="false">
      <c r="A11" s="16" t="s">
        <v>200</v>
      </c>
      <c r="B11" s="17" t="n">
        <f aca="false">SUM(B6:B10)</f>
        <v>4</v>
      </c>
    </row>
    <row r="13" customFormat="false" ht="15" hidden="false" customHeight="false" outlineLevel="0" collapsed="false">
      <c r="A13" s="2" t="s">
        <v>201</v>
      </c>
      <c r="B13" s="2"/>
      <c r="D13" s="2" t="s">
        <v>202</v>
      </c>
      <c r="E13" s="2"/>
    </row>
    <row r="14" customFormat="false" ht="15" hidden="false" customHeight="false" outlineLevel="0" collapsed="false">
      <c r="A14" s="11" t="s">
        <v>83</v>
      </c>
      <c r="B14" s="11" t="s">
        <v>194</v>
      </c>
      <c r="D14" s="11" t="s">
        <v>203</v>
      </c>
      <c r="E14" s="11" t="s">
        <v>194</v>
      </c>
    </row>
    <row r="15" customFormat="false" ht="15" hidden="false" customHeight="false" outlineLevel="0" collapsed="false">
      <c r="A15" s="5" t="s">
        <v>142</v>
      </c>
      <c r="B15" s="12" t="n">
        <f aca="false">COUNTIF('4_MF Access Requests'!H5:H100,"Not Requested")</f>
        <v>1</v>
      </c>
      <c r="D15" s="5" t="s">
        <v>204</v>
      </c>
      <c r="E15" s="12" t="n">
        <f aca="true">SUMPRODUCT(('4_MF Access Requests'!G5:G100&lt;TODAY())*('4_MF Access Requests'!G5:G100&lt;&gt;"")*('4_MF Access Requests'!H5:H100&lt;&gt;"Approved")*('4_MF Access Requests'!H5:H100&lt;&gt;"Rejected"))</f>
        <v>1</v>
      </c>
    </row>
    <row r="16" customFormat="false" ht="15" hidden="false" customHeight="false" outlineLevel="0" collapsed="false">
      <c r="A16" s="5" t="s">
        <v>195</v>
      </c>
      <c r="B16" s="12" t="n">
        <f aca="false">COUNTIF('4_MF Access Requests'!H5:H100,"Submitted")</f>
        <v>0</v>
      </c>
      <c r="D16" s="5" t="s">
        <v>205</v>
      </c>
      <c r="E16" s="12" t="n">
        <f aca="true">SUMPRODUCT(('4_MF Access Requests'!J5:J100&lt;TODAY())*('4_MF Access Requests'!J5:J100&lt;&gt;"")*('4_MF Access Requests'!K5:K100&lt;&gt;"Confirmed"))</f>
        <v>1</v>
      </c>
    </row>
    <row r="17" customFormat="false" ht="15" hidden="false" customHeight="false" outlineLevel="0" collapsed="false">
      <c r="A17" s="5" t="s">
        <v>141</v>
      </c>
      <c r="B17" s="12" t="n">
        <f aca="false">COUNTIF('4_MF Access Requests'!H5:H100,"Under Review")</f>
        <v>1</v>
      </c>
      <c r="D17" s="5" t="s">
        <v>206</v>
      </c>
      <c r="E17" s="12" t="n">
        <f aca="false">COUNTIF('5_Sigon Assignments'!H5:H100,"Pending")</f>
        <v>1</v>
      </c>
    </row>
    <row r="18" customFormat="false" ht="15" hidden="false" customHeight="false" outlineLevel="0" collapsed="false">
      <c r="A18" s="5" t="s">
        <v>90</v>
      </c>
      <c r="B18" s="12" t="n">
        <f aca="false">COUNTIF('4_MF Access Requests'!H5:H100,"Approved")</f>
        <v>2</v>
      </c>
      <c r="D18" s="5" t="s">
        <v>207</v>
      </c>
      <c r="E18" s="12" t="n">
        <f aca="false">COUNTIF('5_Sigon Assignments'!G5:G100,"*⚠️*")</f>
        <v>0</v>
      </c>
    </row>
    <row r="19" customFormat="false" ht="15" hidden="false" customHeight="false" outlineLevel="0" collapsed="false">
      <c r="A19" s="5" t="s">
        <v>199</v>
      </c>
      <c r="B19" s="12" t="n">
        <f aca="false">COUNTIF('4_MF Access Requests'!H5:H100,"Rejected")</f>
        <v>0</v>
      </c>
    </row>
    <row r="20" customFormat="false" ht="15" hidden="false" customHeight="false" outlineLevel="0" collapsed="false">
      <c r="A20" s="2" t="s">
        <v>208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5" t="s">
        <v>209</v>
      </c>
      <c r="B21" s="5"/>
      <c r="C21" s="5"/>
      <c r="D21" s="5"/>
      <c r="E21" s="18" t="n">
        <f aca="true">SUMPRODUCT((('3_Env Deployment Schedule'!C5:C100&gt;=TODAY())*('3_Env Deployment Schedule'!C5:C100&lt;=TODAY()+30))+(('3_Env Deployment Schedule'!F5:F100&gt;=TODAY())*('3_Env Deployment Schedule'!F5:F100&lt;=TODAY()+30))+(('3_Env Deployment Schedule'!I5:I100&gt;=TODAY())*('3_Env Deployment Schedule'!I5:I100&lt;=TODAY()+30))+(('3_Env Deployment Schedule'!L5:L100&gt;=TODAY())*('3_Env Deployment Schedule'!L5:L100&lt;=TODAY()+30)))</f>
        <v>0</v>
      </c>
    </row>
  </sheetData>
  <mergeCells count="8">
    <mergeCell ref="A1:F1"/>
    <mergeCell ref="A2:F2"/>
    <mergeCell ref="A4:B4"/>
    <mergeCell ref="D4:E4"/>
    <mergeCell ref="A13:B13"/>
    <mergeCell ref="D13:E13"/>
    <mergeCell ref="A20:F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210</v>
      </c>
      <c r="B1" s="1"/>
      <c r="C1" s="1"/>
      <c r="D1" s="1"/>
      <c r="E1" s="1"/>
    </row>
    <row r="3" customFormat="false" ht="31.5" hidden="false" customHeight="true" outlineLevel="0" collapsed="false">
      <c r="A3" s="11" t="s">
        <v>177</v>
      </c>
      <c r="B3" s="11" t="s">
        <v>178</v>
      </c>
      <c r="C3" s="11" t="s">
        <v>211</v>
      </c>
      <c r="D3" s="11" t="s">
        <v>212</v>
      </c>
      <c r="E3" s="11" t="s">
        <v>86</v>
      </c>
    </row>
    <row r="4" customFormat="false" ht="15" hidden="false" customHeight="false" outlineLevel="0" collapsed="false">
      <c r="A4" s="4" t="s">
        <v>129</v>
      </c>
      <c r="B4" s="4" t="s">
        <v>130</v>
      </c>
      <c r="C4" s="4" t="s">
        <v>116</v>
      </c>
      <c r="D4" s="4" t="s">
        <v>213</v>
      </c>
      <c r="E4" s="4" t="s">
        <v>214</v>
      </c>
    </row>
    <row r="5" customFormat="false" ht="15" hidden="false" customHeight="false" outlineLevel="0" collapsed="false">
      <c r="A5" s="4" t="s">
        <v>138</v>
      </c>
      <c r="B5" s="4" t="s">
        <v>139</v>
      </c>
      <c r="C5" s="4" t="s">
        <v>116</v>
      </c>
      <c r="D5" s="4" t="s">
        <v>213</v>
      </c>
      <c r="E5" s="4"/>
    </row>
    <row r="6" customFormat="false" ht="15" hidden="false" customHeight="false" outlineLevel="0" collapsed="false">
      <c r="A6" s="4" t="s">
        <v>182</v>
      </c>
      <c r="B6" s="4" t="s">
        <v>87</v>
      </c>
      <c r="C6" s="4" t="s">
        <v>215</v>
      </c>
      <c r="D6" s="4" t="s">
        <v>54</v>
      </c>
      <c r="E6" s="4"/>
    </row>
    <row r="7" customFormat="false" ht="15" hidden="false" customHeight="false" outlineLevel="0" collapsed="false">
      <c r="A7" s="4" t="s">
        <v>216</v>
      </c>
      <c r="B7" s="4" t="s">
        <v>93</v>
      </c>
      <c r="C7" s="4" t="s">
        <v>215</v>
      </c>
      <c r="D7" s="4" t="s">
        <v>62</v>
      </c>
      <c r="E7" s="4"/>
    </row>
    <row r="8" customFormat="false" ht="15" hidden="false" customHeight="false" outlineLevel="0" collapsed="false">
      <c r="A8" s="4" t="s">
        <v>217</v>
      </c>
      <c r="B8" s="4" t="s">
        <v>218</v>
      </c>
      <c r="C8" s="4" t="s">
        <v>215</v>
      </c>
      <c r="D8" s="4" t="s">
        <v>219</v>
      </c>
      <c r="E8" s="4" t="s">
        <v>220</v>
      </c>
    </row>
    <row r="9" customFormat="false" ht="15" hidden="false" customHeight="false" outlineLevel="0" collapsed="false">
      <c r="A9" s="4"/>
      <c r="B9" s="4"/>
      <c r="C9" s="4"/>
      <c r="D9" s="4"/>
      <c r="E9" s="4"/>
    </row>
    <row r="10" customFormat="false" ht="15" hidden="false" customHeight="false" outlineLevel="0" collapsed="false">
      <c r="A10" s="4"/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4"/>
      <c r="B14" s="4"/>
      <c r="C14" s="4"/>
      <c r="D14" s="4"/>
      <c r="E14" s="4"/>
    </row>
    <row r="15" customFormat="false" ht="15" hidden="false" customHeight="false" outlineLevel="0" collapsed="false">
      <c r="A15" s="4"/>
      <c r="B15" s="4"/>
      <c r="C15" s="4"/>
      <c r="D15" s="4"/>
      <c r="E15" s="4"/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4"/>
      <c r="B17" s="4"/>
      <c r="C17" s="4"/>
      <c r="D17" s="4"/>
      <c r="E17" s="4"/>
    </row>
    <row r="18" customFormat="false" ht="15" hidden="false" customHeight="false" outlineLevel="0" collapsed="false">
      <c r="A18" s="4"/>
      <c r="B18" s="4"/>
      <c r="C18" s="4"/>
      <c r="D18" s="4"/>
      <c r="E18" s="4"/>
    </row>
    <row r="19" customFormat="false" ht="15" hidden="false" customHeight="false" outlineLevel="0" collapsed="false">
      <c r="A19" s="4"/>
      <c r="B19" s="4"/>
      <c r="C19" s="4"/>
      <c r="D19" s="4"/>
      <c r="E19" s="4"/>
    </row>
    <row r="20" customFormat="false" ht="1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4"/>
      <c r="B21" s="4"/>
      <c r="C21" s="4"/>
      <c r="D21" s="4"/>
      <c r="E21" s="4"/>
    </row>
    <row r="22" customFormat="false" ht="15" hidden="false" customHeight="false" outlineLevel="0" collapsed="false">
      <c r="A22" s="4"/>
      <c r="B22" s="4"/>
      <c r="C22" s="4"/>
      <c r="D22" s="4"/>
      <c r="E22" s="4"/>
    </row>
    <row r="23" customFormat="false" ht="15" hidden="false" customHeight="false" outlineLevel="0" collapsed="false">
      <c r="A23" s="4"/>
      <c r="B23" s="4"/>
      <c r="C23" s="4"/>
      <c r="D23" s="4"/>
      <c r="E23" s="4"/>
    </row>
    <row r="24" customFormat="false" ht="15" hidden="false" customHeight="false" outlineLevel="0" collapsed="false">
      <c r="A24" s="4"/>
      <c r="B24" s="4"/>
      <c r="C24" s="4"/>
      <c r="D24" s="4"/>
      <c r="E24" s="4"/>
    </row>
    <row r="25" customFormat="false" ht="15" hidden="false" customHeight="false" outlineLevel="0" collapsed="false">
      <c r="A25" s="4"/>
      <c r="B25" s="4"/>
      <c r="C25" s="4"/>
      <c r="D25" s="4"/>
      <c r="E25" s="4"/>
    </row>
    <row r="26" customFormat="false" ht="15" hidden="false" customHeight="false" outlineLevel="0" collapsed="false">
      <c r="A26" s="4"/>
      <c r="B26" s="4"/>
      <c r="C26" s="4"/>
      <c r="D26" s="4"/>
      <c r="E26" s="4"/>
    </row>
    <row r="27" customFormat="false" ht="15" hidden="false" customHeight="false" outlineLevel="0" collapsed="false">
      <c r="A27" s="4"/>
      <c r="B27" s="4"/>
      <c r="C27" s="4"/>
      <c r="D27" s="4"/>
      <c r="E27" s="4"/>
    </row>
    <row r="28" customFormat="false" ht="15" hidden="false" customHeight="false" outlineLevel="0" collapsed="false">
      <c r="A28" s="4"/>
      <c r="B28" s="4"/>
      <c r="C28" s="4"/>
      <c r="D28" s="4"/>
      <c r="E28" s="4"/>
    </row>
    <row r="29" customFormat="false" ht="15" hidden="false" customHeight="false" outlineLevel="0" collapsed="false">
      <c r="A29" s="4"/>
      <c r="B29" s="4"/>
      <c r="C29" s="4"/>
      <c r="D29" s="4"/>
      <c r="E29" s="4"/>
    </row>
    <row r="30" customFormat="false" ht="15" hidden="false" customHeight="false" outlineLevel="0" collapsed="false">
      <c r="A30" s="4"/>
      <c r="B30" s="4"/>
      <c r="C30" s="4"/>
      <c r="D30" s="4"/>
      <c r="E30" s="4"/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C4:C100" type="list">
      <formula1>"Mainframe,Java"</formula1>
      <formula2>0</formula2>
    </dataValidation>
    <dataValidation allowBlank="true" errorStyle="stop" operator="between" showDropDown="false" showErrorMessage="false" showInputMessage="false" sqref="D4:D100" type="list">
      <formula1>"Mainframe Dev,TDAP,TDWS,TDAP / TDWS"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2026-05-11T04:01:19Z</dcterms:created>
  <dc:creator>openpyxl</dc:creator>
  <dc:description/>
  <dc:language>en-US</dc:language>
  <cp:lastModifiedBy/>
  <dcterms:modified xsi:type="dcterms:W3CDTF">2026-05-11T04:01:19Z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